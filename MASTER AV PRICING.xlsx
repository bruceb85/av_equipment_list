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BCD345D3-50C3-B846-ACE8-3734B3D863CF}"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13" i="1" l="1"/>
  <c r="A7812" i="1"/>
  <c r="A7811" i="1"/>
  <c r="A7810" i="1"/>
  <c r="A7809" i="1"/>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<sst xmlns="http://schemas.openxmlformats.org/spreadsheetml/2006/main" count="31235" uniqueCount="14890">
  <si>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</si>
  <si>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</si>
  <si>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</si>
  <si>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</si>
  <si>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</si>
  <si>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</si>
  <si>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</si>
  <si>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</si>
  <si>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</si>
  <si>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</si>
  <si>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</si>
  <si>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</si>
  <si>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</si>
  <si>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</si>
  <si>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</si>
  <si>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</si>
  <si>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</si>
  <si>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</si>
  <si>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</si>
  <si>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</si>
  <si>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</si>
  <si>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</si>
  <si>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</si>
  <si>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</si>
  <si>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</si>
  <si>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</si>
  <si>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</si>
  <si>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</si>
  <si>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</si>
  <si>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</si>
  <si>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</si>
  <si>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</si>
  <si>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</si>
  <si>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</si>
  <si>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</si>
  <si>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</si>
  <si>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</si>
  <si>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</si>
  <si>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</si>
  <si>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</si>
  <si>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</si>
  <si>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</si>
  <si>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</si>
  <si>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</si>
  <si>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</si>
  <si>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</si>
  <si>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</si>
  <si>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</si>
  <si>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</si>
  <si>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</si>
  <si>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</si>
  <si>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</si>
  <si>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</si>
  <si>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</si>
  <si>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</si>
  <si>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</si>
  <si>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</si>
  <si>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</si>
  <si>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</si>
  <si>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</si>
  <si>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</si>
  <si>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</si>
  <si>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</si>
  <si>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</si>
  <si>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</si>
  <si>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</si>
  <si>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</si>
  <si>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</si>
  <si>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</si>
  <si>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</si>
  <si>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</si>
  <si>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</si>
  <si>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</si>
  <si>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</si>
  <si>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</si>
  <si>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</si>
  <si>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</si>
  <si>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</si>
  <si>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</si>
  <si>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</si>
  <si>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</si>
  <si>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</si>
  <si>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</si>
  <si>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</si>
  <si>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</si>
  <si>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</si>
  <si>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</si>
  <si>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</si>
  <si>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</si>
  <si>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</si>
  <si>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</si>
  <si>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</si>
  <si>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</si>
  <si>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</si>
  <si>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</si>
  <si>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</si>
  <si>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</si>
  <si>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</si>
  <si>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</si>
  <si>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</si>
  <si>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</si>
  <si>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</si>
  <si>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</si>
  <si>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</si>
  <si>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</si>
  <si>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</si>
  <si>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</si>
  <si>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</si>
  <si>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</si>
  <si>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</si>
  <si>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</si>
  <si>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</si>
  <si>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</si>
  <si>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</si>
  <si>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</si>
  <si>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</si>
  <si>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</si>
  <si>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</si>
  <si>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</si>
  <si>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</si>
  <si>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</si>
  <si>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</si>
  <si>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</si>
  <si>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</si>
  <si>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</si>
  <si>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</si>
  <si>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</si>
  <si>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</si>
  <si>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</si>
  <si>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</si>
  <si>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</si>
  <si>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</si>
  <si>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</si>
  <si>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</si>
  <si>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</si>
  <si>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</si>
  <si>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</si>
  <si>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</si>
  <si>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</si>
  <si>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</si>
  <si>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</si>
  <si>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</si>
  <si>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</si>
  <si>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</si>
  <si>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</si>
  <si>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</si>
  <si>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</si>
  <si>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</si>
  <si>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</si>
  <si>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</si>
  <si>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</si>
  <si>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</si>
  <si>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</si>
  <si>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</si>
  <si>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</si>
  <si>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</si>
  <si>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</si>
  <si>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</si>
  <si>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</si>
  <si>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</si>
  <si>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</si>
  <si>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</si>
  <si>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</si>
  <si>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</si>
  <si>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</si>
  <si>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</si>
  <si>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</si>
  <si>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</si>
  <si>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</si>
  <si>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</si>
  <si>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</si>
  <si>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</si>
  <si>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</si>
  <si>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</si>
  <si>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</si>
  <si>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</si>
  <si>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</si>
  <si>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</si>
  <si>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</si>
  <si>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</si>
  <si>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</si>
  <si>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</si>
  <si>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</si>
  <si>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</si>
  <si>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</si>
  <si>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</si>
  <si>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</si>
  <si>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</si>
  <si>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</si>
  <si>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</si>
  <si>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</si>
  <si>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</si>
  <si>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</si>
  <si>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</si>
  <si>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</si>
  <si>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</si>
  <si>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</si>
  <si>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</si>
  <si>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</si>
  <si>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</si>
  <si>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</si>
  <si>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</si>
  <si>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</si>
  <si>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</si>
  <si>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</si>
  <si>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</si>
  <si>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</si>
  <si>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</si>
  <si>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</si>
  <si>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</si>
  <si>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</si>
  <si>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</si>
  <si>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</si>
  <si>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</si>
  <si>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</si>
  <si>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</si>
  <si>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</si>
  <si>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</si>
  <si>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</si>
  <si>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</si>
  <si>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</si>
  <si>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</si>
  <si>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</si>
  <si>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</si>
  <si>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</si>
  <si>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</si>
  <si>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</si>
  <si>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</si>
  <si>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</si>
  <si>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</si>
  <si>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</si>
  <si>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</si>
  <si>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</si>
  <si>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</si>
  <si>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</si>
  <si>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</si>
  <si>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</si>
  <si>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</si>
  <si>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</si>
  <si>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</si>
  <si>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</si>
  <si>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</si>
  <si>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</si>
  <si>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</si>
  <si>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</si>
  <si>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</si>
  <si>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</si>
  <si>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</si>
  <si>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</si>
  <si>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</si>
  <si>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</si>
  <si>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</si>
  <si>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</si>
  <si>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</si>
  <si>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</si>
  <si>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</si>
  <si>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</si>
  <si>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</si>
  <si>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</si>
  <si>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</si>
  <si>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</si>
  <si>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</si>
  <si>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</si>
  <si>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</si>
  <si>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</si>
  <si>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</si>
  <si>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</si>
  <si>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</si>
  <si>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</si>
  <si>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</si>
  <si>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</si>
  <si>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</si>
  <si>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</si>
  <si>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</si>
  <si>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</si>
  <si>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</si>
  <si>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</si>
  <si>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</si>
  <si>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</si>
  <si>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</si>
  <si>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</si>
  <si>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</si>
  <si>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</si>
  <si>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</si>
  <si>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</si>
  <si>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</si>
  <si>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</si>
  <si>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</si>
  <si>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</si>
  <si>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</si>
  <si>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</si>
  <si>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</si>
  <si>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</si>
  <si>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</si>
  <si>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</si>
  <si>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</si>
  <si>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</si>
  <si>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</si>
  <si>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</si>
  <si>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</si>
  <si>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</si>
  <si>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</si>
  <si>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</si>
  <si>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</si>
  <si>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</si>
  <si>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</si>
  <si>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</si>
  <si>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</si>
  <si>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</si>
  <si>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</si>
  <si>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</si>
  <si>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</si>
  <si>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</si>
  <si>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</si>
  <si>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</si>
  <si>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</si>
  <si>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</si>
  <si>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</si>
  <si>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</si>
  <si>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</si>
  <si>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</si>
  <si>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</si>
  <si>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</si>
  <si>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</si>
  <si>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</si>
  <si>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</si>
  <si>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</si>
  <si>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</si>
  <si>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</si>
  <si>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</si>
  <si>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</si>
  <si>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</si>
  <si>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</si>
  <si>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</si>
  <si>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</si>
  <si>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</si>
  <si>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</si>
  <si>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</si>
  <si>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</si>
  <si>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</si>
  <si>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</si>
  <si>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</si>
  <si>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</si>
  <si>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</si>
  <si>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</si>
  <si>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</si>
  <si>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</si>
  <si>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</si>
  <si>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</si>
  <si>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</si>
  <si>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</si>
  <si>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</si>
  <si>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</si>
  <si>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</si>
  <si>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</si>
  <si>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</si>
  <si>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</si>
  <si>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</si>
  <si>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</si>
  <si>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</si>
  <si>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</si>
  <si>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</si>
  <si>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</si>
  <si>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</si>
  <si>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</si>
  <si>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</si>
  <si>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</si>
  <si>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</si>
  <si>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</si>
  <si>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</si>
  <si>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</si>
  <si>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</si>
  <si>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</si>
  <si>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</si>
  <si>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</si>
  <si>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</si>
  <si>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</si>
  <si>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</si>
  <si>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</si>
  <si>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</si>
  <si>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</si>
  <si>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</si>
  <si>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</si>
  <si>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</si>
  <si>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</si>
  <si>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</si>
  <si>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</si>
  <si>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</si>
  <si>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</si>
  <si>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</si>
  <si>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</si>
  <si>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</si>
  <si>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</si>
  <si>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</si>
  <si>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</si>
  <si>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</si>
  <si>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</si>
  <si>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</si>
  <si>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</si>
  <si>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</si>
  <si>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</si>
  <si>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</si>
  <si>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</si>
  <si>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</si>
  <si>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</si>
  <si>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</si>
  <si>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</si>
  <si>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</si>
  <si>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</si>
  <si>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</si>
  <si>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</si>
  <si>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</si>
  <si>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</si>
  <si>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</si>
  <si>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</si>
  <si>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</si>
  <si>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</si>
  <si>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</si>
  <si>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</si>
  <si>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</si>
  <si>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</si>
  <si>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</si>
  <si>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</si>
  <si>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</si>
  <si>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</si>
  <si>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</si>
  <si>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</si>
  <si>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</si>
  <si>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</si>
  <si>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</si>
  <si>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</si>
  <si>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</si>
  <si>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</si>
  <si>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</si>
  <si>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</si>
  <si>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</si>
  <si>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</si>
  <si>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</si>
  <si>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</si>
  <si>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</si>
  <si>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</si>
  <si>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</si>
  <si>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</si>
  <si>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</si>
  <si>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</si>
  <si>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</si>
  <si>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</si>
  <si>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</si>
  <si>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</si>
  <si>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</si>
  <si>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</si>
  <si>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</si>
  <si>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</si>
  <si>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</si>
  <si>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</si>
  <si>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</si>
  <si>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</si>
  <si>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</si>
  <si>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</si>
  <si>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</si>
  <si>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</si>
  <si>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</si>
  <si>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</si>
  <si>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</si>
  <si>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</si>
  <si>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</si>
  <si>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</si>
  <si>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</si>
  <si>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</si>
  <si>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</si>
  <si>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</si>
  <si>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</si>
  <si>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</si>
  <si>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</si>
  <si>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</si>
  <si>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</si>
  <si>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</si>
  <si>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</si>
  <si>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</si>
  <si>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</si>
  <si>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</si>
  <si>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</si>
  <si>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</si>
  <si>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</si>
  <si>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</si>
  <si>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</si>
  <si>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</si>
  <si>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</si>
  <si>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</si>
  <si>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</si>
  <si>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</si>
  <si>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</si>
  <si>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</si>
  <si>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</si>
  <si>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</si>
  <si>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</si>
  <si>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</si>
  <si>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</si>
  <si>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</si>
  <si>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</si>
  <si>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</si>
  <si>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</si>
  <si>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</si>
  <si>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</si>
  <si>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</si>
  <si>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</si>
  <si>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</si>
  <si>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</si>
  <si>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</si>
  <si>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</si>
  <si>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</si>
  <si>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</si>
  <si>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</si>
  <si>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</si>
  <si>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</si>
  <si>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</si>
  <si>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</si>
  <si>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</si>
  <si>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</si>
  <si>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</si>
  <si>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</si>
  <si>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</si>
  <si>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</si>
  <si>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</si>
  <si>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</si>
  <si>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</si>
  <si>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</si>
  <si>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</si>
  <si>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</si>
  <si>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</si>
  <si>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</si>
  <si>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</si>
  <si>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</si>
  <si>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</si>
  <si>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</si>
  <si>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</si>
  <si>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</si>
  <si>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</si>
  <si>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</si>
  <si>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</si>
  <si>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</si>
  <si>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</si>
  <si>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</si>
  <si>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</si>
  <si>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</si>
  <si>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</si>
  <si>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</si>
  <si>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</si>
  <si>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</si>
  <si>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</si>
  <si>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</si>
  <si>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</si>
  <si>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</si>
  <si>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</si>
  <si>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</si>
  <si>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</si>
  <si>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</si>
  <si>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</si>
  <si>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</si>
  <si>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</si>
  <si>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</si>
  <si>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</si>
  <si>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</si>
  <si>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</si>
  <si>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</si>
  <si>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</si>
  <si>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</si>
  <si>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</si>
  <si>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</si>
  <si>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</si>
  <si>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</si>
  <si>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</si>
  <si>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</si>
  <si>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</si>
  <si>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</si>
  <si>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</si>
  <si>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</si>
  <si>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</si>
  <si>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</si>
  <si>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</si>
  <si>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</si>
  <si>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</si>
  <si>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</si>
  <si>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</si>
  <si>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</si>
  <si>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</si>
  <si>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</si>
  <si>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</si>
  <si>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</si>
  <si>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</si>
  <si>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</si>
  <si>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</si>
  <si>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</si>
  <si>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</si>
  <si>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</si>
  <si>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</si>
  <si>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</si>
  <si>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</si>
  <si>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</si>
  <si>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</si>
  <si>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</si>
  <si>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</si>
  <si>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</si>
  <si>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</si>
  <si>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</si>
  <si>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</si>
  <si>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</si>
  <si>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</si>
  <si>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</si>
  <si>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</si>
  <si>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</si>
  <si>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</si>
  <si>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</si>
  <si>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</si>
  <si>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</si>
  <si>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</si>
  <si>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</si>
  <si>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</si>
  <si>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</si>
  <si>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</si>
  <si>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</si>
  <si>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</si>
  <si>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</si>
  <si>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</si>
  <si>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</si>
  <si>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</si>
  <si>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</si>
  <si>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</si>
  <si>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</si>
  <si>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</si>
  <si>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</si>
  <si>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</si>
  <si>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</si>
  <si>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</si>
  <si>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</si>
  <si>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</si>
  <si>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</si>
  <si>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</si>
  <si>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</si>
  <si>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</si>
  <si>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</si>
  <si>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</si>
  <si>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</si>
  <si>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</si>
  <si>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</si>
  <si>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</si>
  <si>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</si>
  <si>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</si>
  <si>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</si>
  <si>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</si>
  <si>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</si>
  <si>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</si>
  <si>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</si>
  <si>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</si>
  <si>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</si>
  <si>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</si>
  <si>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</si>
  <si>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</si>
  <si>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</si>
  <si>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</si>
  <si>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</si>
  <si>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</si>
  <si>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</si>
  <si>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</si>
  <si>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</si>
  <si>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</si>
  <si>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</si>
  <si>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</si>
  <si>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</si>
  <si>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</si>
  <si>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</si>
  <si>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</si>
  <si>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</si>
  <si>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</si>
  <si>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</si>
  <si>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</si>
  <si>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</si>
  <si>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</si>
  <si>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</si>
  <si>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</si>
  <si>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</si>
  <si>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</si>
  <si>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</si>
  <si>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</si>
  <si>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</si>
  <si>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</si>
  <si>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</si>
  <si>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</si>
  <si>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</si>
  <si>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</si>
  <si>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</si>
  <si>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</si>
  <si>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</si>
  <si>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</si>
  <si>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</si>
  <si>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</si>
  <si>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</si>
  <si>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</si>
  <si>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</si>
  <si>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</si>
  <si>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</si>
  <si>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</si>
  <si>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</si>
  <si>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</si>
  <si>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</si>
  <si>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</si>
  <si>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</si>
  <si>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</si>
  <si>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</si>
  <si>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</si>
  <si>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</si>
  <si>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</si>
  <si>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</si>
  <si>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</si>
  <si>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</si>
  <si>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</si>
  <si>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</si>
  <si>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</si>
  <si>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</si>
  <si>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</si>
  <si>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</si>
  <si>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</si>
  <si>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</si>
  <si>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</si>
  <si>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</si>
  <si>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</si>
  <si>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</si>
  <si>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</si>
  <si>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</si>
  <si>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</si>
  <si>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</si>
  <si>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</si>
  <si>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</si>
  <si>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</si>
  <si>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</si>
  <si>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</si>
  <si>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</si>
  <si>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</si>
  <si>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</si>
  <si>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</si>
  <si>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</si>
  <si>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</si>
  <si>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</si>
  <si>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</si>
  <si>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</si>
  <si>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</si>
  <si>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</si>
  <si>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</si>
  <si>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</si>
  <si>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</si>
  <si>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</si>
  <si>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</si>
  <si>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</si>
  <si>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</si>
  <si>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</si>
  <si>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</si>
  <si>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</si>
  <si>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</si>
  <si>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</si>
  <si>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</si>
  <si>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</si>
  <si>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</si>
  <si>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</si>
  <si>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</si>
  <si>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</si>
  <si>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</si>
  <si>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</si>
  <si>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</si>
  <si>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</si>
  <si>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</si>
  <si>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</si>
  <si>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</si>
  <si>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</si>
  <si>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</si>
  <si>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</si>
  <si>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</si>
  <si>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</si>
  <si>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</si>
  <si>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</si>
  <si>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</si>
  <si>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</si>
  <si>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</si>
  <si>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</si>
  <si>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</si>
  <si>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</si>
  <si>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</si>
  <si>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</si>
  <si>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</si>
  <si>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</si>
  <si>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</si>
  <si>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</si>
  <si>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</si>
  <si>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</si>
  <si>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</si>
  <si>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</si>
  <si>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</si>
  <si>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</si>
  <si>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</si>
  <si>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</si>
  <si>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</si>
  <si>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</si>
  <si>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</si>
  <si>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</si>
  <si>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</si>
  <si>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</si>
  <si>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</si>
  <si>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</si>
  <si>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</si>
  <si>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</si>
  <si>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</si>
  <si>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</si>
  <si>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</si>
  <si>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</si>
  <si>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</si>
  <si>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</si>
  <si>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</si>
  <si>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</si>
  <si>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</si>
  <si>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</si>
  <si>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</si>
  <si>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</si>
  <si>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</si>
  <si>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</si>
  <si>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</si>
  <si>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</si>
  <si>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</si>
  <si>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</si>
  <si>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</si>
  <si>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</si>
  <si>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</si>
  <si>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</si>
  <si>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</si>
  <si>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</si>
  <si>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</si>
  <si>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</si>
  <si>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</si>
  <si>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</si>
  <si>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</si>
  <si>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</si>
  <si>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</si>
  <si>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</si>
  <si>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</si>
  <si>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</si>
  <si>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</si>
  <si>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</si>
  <si>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</si>
  <si>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</si>
  <si>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</si>
  <si>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</si>
  <si>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</si>
  <si>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</si>
  <si>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</si>
  <si>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</si>
  <si>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</si>
  <si>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</si>
  <si>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</si>
  <si>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</si>
  <si>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</si>
  <si>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</si>
  <si>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</si>
  <si>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</si>
  <si>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</si>
  <si>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</si>
  <si>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</si>
  <si>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</si>
  <si>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</si>
  <si>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</si>
  <si>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</si>
  <si>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</si>
  <si>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</si>
  <si>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</si>
  <si>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</si>
  <si>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</si>
  <si>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</si>
  <si>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</si>
  <si>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</si>
  <si>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</si>
  <si>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</si>
  <si>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</si>
  <si>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</si>
  <si>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</si>
  <si>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</si>
  <si>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</si>
  <si>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</si>
  <si>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</si>
  <si>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</si>
  <si>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</si>
  <si>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</si>
  <si>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</si>
  <si>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</si>
  <si>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</si>
  <si>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</si>
  <si>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</si>
  <si>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</si>
  <si>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</si>
  <si>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</si>
  <si>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</si>
  <si>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</si>
  <si>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</si>
  <si>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</si>
  <si>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</si>
  <si>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</si>
  <si>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</si>
  <si>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</si>
  <si>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</si>
  <si>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</si>
  <si>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</si>
  <si>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</si>
  <si>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</si>
  <si>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</si>
  <si>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</si>
  <si>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</si>
  <si>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</si>
  <si>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</si>
  <si>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</si>
  <si>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</si>
  <si>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</si>
  <si>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</si>
  <si>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</si>
  <si>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</si>
  <si>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</si>
  <si>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</si>
  <si>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</si>
  <si>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</si>
  <si>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</si>
  <si>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</si>
  <si>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</si>
  <si>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</si>
  <si>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</si>
  <si>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</si>
  <si>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</si>
  <si>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</si>
  <si>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</si>
  <si>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</si>
  <si>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</si>
  <si>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</si>
  <si>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</si>
  <si>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</si>
  <si>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</si>
  <si>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</si>
  <si>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</si>
  <si>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</si>
  <si>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</si>
  <si>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</si>
  <si>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</si>
  <si>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</si>
  <si>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</si>
  <si>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</si>
  <si>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</si>
  <si>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</si>
  <si>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</si>
  <si>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</si>
  <si>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</si>
  <si>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</si>
  <si>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</si>
  <si>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</si>
  <si>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</si>
  <si>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</si>
  <si>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</si>
  <si>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</si>
  <si>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</si>
  <si>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</si>
  <si>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</si>
  <si>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</si>
  <si>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</si>
  <si>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</si>
  <si>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</si>
  <si>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</si>
  <si>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</si>
  <si>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</si>
  <si>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</si>
  <si>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</si>
  <si>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</si>
  <si>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</si>
  <si>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</si>
  <si>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</si>
  <si>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</si>
  <si>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</si>
  <si>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</si>
  <si>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</si>
  <si>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</si>
  <si>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</si>
  <si>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</si>
  <si>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</si>
  <si>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</si>
  <si>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</si>
  <si>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</si>
  <si>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</si>
  <si>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</si>
  <si>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</si>
  <si>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</si>
  <si>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</si>
  <si>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</si>
  <si>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</si>
  <si>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</si>
  <si>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</si>
  <si>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</si>
  <si>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</si>
  <si>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</si>
  <si>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</si>
  <si>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</si>
  <si>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</si>
  <si>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</si>
  <si>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</si>
  <si>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</si>
  <si>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</si>
  <si>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</si>
  <si>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</si>
  <si>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</si>
  <si>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</si>
  <si>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</si>
  <si>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</si>
  <si>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</si>
  <si>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</si>
  <si>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</si>
  <si>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</si>
  <si>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</si>
  <si>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</si>
  <si>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</si>
  <si>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</si>
  <si>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</si>
  <si>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</si>
  <si>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</si>
  <si>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</si>
  <si>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</si>
  <si>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</si>
  <si>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</si>
  <si>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</si>
  <si>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</si>
  <si>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</si>
  <si>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</si>
  <si>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</si>
  <si>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</si>
  <si>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</si>
  <si>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</si>
  <si>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</si>
  <si>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</si>
  <si>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</si>
  <si>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</si>
  <si>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</si>
  <si>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</si>
  <si>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</si>
  <si>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</si>
  <si>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</si>
  <si>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</si>
  <si>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</si>
  <si>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</si>
  <si>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</si>
  <si>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</si>
  <si>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</si>
  <si>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</si>
  <si>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</si>
  <si>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</si>
  <si>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</si>
  <si>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</si>
  <si>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</si>
  <si>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</si>
  <si>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</si>
  <si>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</si>
  <si>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</si>
  <si>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</si>
  <si>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</si>
  <si>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</si>
  <si>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</si>
  <si>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</si>
  <si>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</si>
  <si>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</si>
  <si>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</si>
  <si>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</si>
  <si>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</si>
  <si>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</si>
  <si>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</si>
  <si>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</si>
  <si>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</si>
  <si>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</si>
  <si>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</si>
  <si>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</si>
  <si>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</si>
  <si>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</si>
  <si>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</si>
  <si>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</si>
  <si>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</si>
  <si>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</si>
  <si>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</si>
  <si>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</si>
  <si>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</si>
  <si>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</si>
  <si>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</si>
  <si>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</si>
  <si>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</si>
  <si>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</si>
  <si>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</si>
  <si>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</si>
  <si>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</si>
  <si>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</si>
  <si>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</si>
  <si>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</si>
  <si>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</si>
  <si>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</si>
  <si>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</si>
  <si>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</si>
  <si>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</si>
  <si>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</si>
  <si>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</si>
  <si>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</si>
  <si>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</si>
  <si>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</si>
  <si>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</si>
  <si>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</si>
  <si>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</si>
  <si>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</si>
  <si>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</si>
  <si>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</si>
  <si>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</si>
  <si>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</si>
  <si>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</si>
  <si>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</si>
  <si>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</si>
  <si>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</si>
  <si>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</si>
  <si>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</si>
  <si>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</si>
  <si>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</si>
  <si>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</si>
  <si>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</si>
  <si>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</si>
  <si>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</si>
  <si>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</si>
  <si>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</si>
  <si>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</si>
  <si>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</si>
  <si>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</si>
  <si>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</si>
  <si>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</si>
  <si>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</si>
  <si>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</si>
  <si>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</si>
  <si>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</si>
  <si>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</si>
  <si>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</si>
  <si>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</si>
  <si>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</si>
  <si>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</si>
  <si>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</si>
  <si>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</si>
  <si>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</si>
  <si>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</si>
  <si>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</si>
  <si>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</si>
  <si>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</si>
  <si>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</si>
  <si>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</si>
  <si>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</si>
  <si>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</si>
  <si>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</si>
  <si>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</si>
  <si>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</si>
  <si>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</si>
  <si>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</si>
  <si>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</si>
  <si>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</si>
  <si>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</si>
  <si>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</si>
  <si>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</si>
  <si>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</si>
  <si>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</si>
  <si>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</si>
  <si>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</si>
  <si>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</si>
  <si>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</si>
  <si>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</si>
  <si>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</si>
  <si>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</si>
  <si>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</si>
  <si>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</si>
  <si>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</si>
  <si>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</si>
  <si>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</si>
  <si>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</si>
  <si>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</si>
  <si>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</si>
  <si>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</si>
  <si>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</si>
  <si>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</si>
  <si>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</si>
  <si>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</si>
  <si>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</si>
  <si>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</si>
  <si>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</si>
  <si>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</si>
  <si>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</si>
  <si>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</si>
  <si>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</si>
  <si>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</si>
  <si>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</si>
  <si>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</si>
  <si>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</si>
  <si>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</si>
  <si>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</si>
  <si>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</si>
  <si>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</si>
  <si>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</si>
  <si>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</si>
  <si>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</si>
  <si>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</si>
  <si>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</si>
  <si>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</si>
  <si>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</si>
  <si>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</si>
  <si>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</si>
  <si>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</si>
  <si>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</si>
  <si>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</si>
  <si>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</si>
  <si>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</si>
  <si>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</si>
  <si>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</si>
  <si>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</si>
  <si>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</si>
  <si>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</si>
  <si>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</si>
  <si>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</si>
  <si>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</si>
  <si>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</si>
  <si>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</si>
  <si>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</si>
  <si>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</si>
  <si>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</si>
  <si>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</si>
  <si>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</si>
  <si>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</si>
  <si>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</si>
  <si>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</si>
  <si>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</si>
  <si>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</si>
  <si>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</si>
  <si>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</si>
  <si>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</si>
  <si>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</si>
  <si>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</si>
  <si>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</si>
  <si>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</si>
  <si>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</si>
  <si>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</si>
  <si>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</si>
  <si>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</si>
  <si>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</si>
  <si>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</si>
  <si>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</si>
  <si>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</si>
  <si>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</si>
  <si>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</si>
  <si>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</si>
  <si>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</si>
  <si>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</si>
  <si>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</si>
  <si>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</si>
  <si>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</si>
  <si>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</si>
  <si>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</si>
  <si>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</si>
  <si>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</si>
  <si>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</si>
  <si>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</si>
  <si>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</si>
  <si>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</si>
  <si>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</si>
  <si>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</si>
  <si>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</si>
  <si>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</si>
  <si>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</si>
  <si>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</si>
  <si>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</si>
  <si>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</si>
  <si>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</si>
  <si>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</si>
  <si>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</si>
  <si>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</si>
  <si>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</si>
  <si>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</si>
  <si>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</si>
  <si>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</si>
  <si>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</si>
  <si>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</si>
  <si>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</si>
  <si>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</si>
  <si>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</si>
  <si>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</si>
  <si>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</si>
  <si>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</si>
  <si>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</si>
  <si>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</si>
  <si>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</si>
  <si>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</si>
  <si>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</si>
  <si>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</si>
  <si>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</si>
  <si>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</si>
  <si>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</si>
  <si>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</si>
  <si>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</si>
  <si>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</si>
  <si>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</si>
  <si>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</si>
  <si>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</si>
  <si>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</si>
  <si>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</si>
  <si>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</si>
  <si>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</si>
  <si>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</si>
  <si>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</si>
  <si>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</si>
  <si>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</si>
  <si>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</si>
  <si>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</si>
  <si>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</si>
  <si>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</si>
  <si>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</si>
  <si>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</si>
  <si>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</si>
  <si>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</si>
  <si>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</si>
  <si>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</si>
  <si>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</si>
  <si>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</si>
  <si>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</si>
  <si>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</si>
  <si>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</si>
  <si>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</si>
  <si>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</si>
  <si>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</si>
  <si>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</si>
  <si>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</si>
  <si>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</si>
  <si>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</si>
  <si>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</si>
  <si>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</si>
  <si>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</si>
  <si>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</si>
  <si>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</si>
  <si>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</si>
  <si>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</si>
  <si>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</si>
  <si>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</si>
  <si>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</si>
  <si>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</si>
  <si>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</si>
  <si>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</si>
  <si>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</si>
  <si>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</si>
  <si>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</si>
  <si>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</si>
  <si>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</si>
  <si>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</si>
  <si>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</si>
  <si>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</si>
  <si>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</si>
  <si>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</si>
  <si>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</si>
  <si>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</si>
  <si>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</si>
  <si>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</si>
  <si>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</si>
  <si>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</si>
  <si>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</si>
  <si>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</si>
  <si>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</si>
  <si>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</si>
  <si>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</si>
  <si>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</si>
  <si>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</si>
  <si>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</si>
  <si>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</si>
  <si>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</si>
  <si>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</si>
  <si>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</si>
  <si>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</si>
  <si>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</si>
  <si>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</si>
  <si>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</si>
  <si>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</si>
  <si>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</si>
  <si>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</si>
  <si>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</si>
  <si>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</si>
  <si>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</si>
  <si>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</si>
  <si>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</si>
  <si>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</si>
  <si>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</si>
  <si>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</si>
  <si>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</si>
  <si>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</si>
  <si>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</si>
  <si>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</si>
  <si>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</si>
  <si>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</si>
  <si>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</si>
  <si>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</si>
  <si>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</si>
  <si>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</si>
  <si>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</si>
  <si>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</si>
  <si>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</si>
  <si>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</si>
  <si>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</si>
  <si>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</si>
  <si>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</si>
  <si>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</si>
  <si>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</si>
  <si>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</si>
  <si>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</si>
  <si>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</si>
  <si>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</si>
  <si>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</si>
  <si>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</si>
  <si>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</si>
  <si>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</si>
  <si>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</si>
  <si>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</si>
  <si>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</si>
  <si>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</si>
  <si>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</si>
  <si>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</si>
  <si>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</si>
  <si>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</si>
  <si>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</si>
  <si>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</si>
  <si>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</si>
  <si>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</si>
  <si>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</si>
  <si>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</si>
  <si>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</si>
  <si>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</si>
  <si>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</si>
  <si>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</si>
  <si>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</si>
  <si>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</si>
  <si>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</si>
  <si>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</si>
  <si>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</si>
  <si>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</si>
  <si>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</si>
  <si>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</si>
  <si>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</si>
  <si>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</si>
  <si>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</si>
  <si>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</si>
  <si>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</si>
  <si>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</si>
  <si>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</si>
  <si>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</si>
  <si>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</si>
  <si>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</si>
  <si>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</si>
  <si>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</si>
  <si>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</si>
  <si>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</si>
  <si>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</si>
  <si>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</si>
  <si>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</si>
  <si>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</si>
  <si>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</si>
  <si>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</si>
  <si>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</si>
  <si>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</si>
  <si>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</si>
  <si>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</si>
  <si>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</si>
  <si>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</si>
  <si>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</si>
  <si>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</si>
  <si>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</si>
  <si>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</si>
  <si>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</si>
  <si>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</si>
  <si>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</si>
  <si>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</si>
  <si>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</si>
  <si>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</si>
  <si>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</si>
  <si>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</si>
  <si>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</si>
  <si>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</si>
  <si>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</si>
  <si>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</si>
  <si>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</si>
  <si>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</si>
  <si>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</si>
  <si>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</si>
  <si>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</si>
  <si>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</si>
  <si>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</si>
  <si>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</si>
  <si>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</si>
  <si>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</si>
  <si>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</si>
  <si>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</si>
  <si>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</si>
  <si>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</si>
  <si>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</si>
  <si>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</si>
  <si>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</si>
  <si>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</si>
  <si>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</si>
  <si>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</si>
  <si>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</si>
  <si>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</si>
  <si>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</si>
  <si>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</si>
  <si>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</si>
  <si>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</si>
  <si>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</si>
  <si>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</si>
  <si>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</si>
  <si>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</si>
  <si>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</si>
  <si>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</si>
  <si>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</si>
  <si>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</si>
  <si>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</si>
  <si>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</si>
  <si>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</si>
  <si>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</si>
  <si>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</si>
  <si>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</si>
  <si>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</si>
  <si>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</si>
  <si>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</si>
  <si>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</si>
  <si>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</si>
  <si>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</si>
  <si>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</si>
  <si>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</si>
  <si>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</si>
  <si>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</si>
  <si>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</si>
  <si>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</si>
  <si>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</si>
  <si>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</si>
  <si>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</si>
  <si>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</si>
  <si>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</si>
  <si>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</si>
  <si>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</si>
  <si>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</si>
  <si>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</si>
  <si>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</si>
  <si>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</si>
  <si>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</si>
  <si>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</si>
  <si>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</si>
  <si>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</si>
  <si>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</si>
  <si>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</si>
  <si>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</si>
  <si>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</si>
  <si>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</si>
  <si>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</si>
  <si>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</si>
  <si>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</si>
  <si>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</si>
  <si>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</si>
  <si>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</si>
  <si>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</si>
  <si>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</si>
  <si>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</si>
  <si>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</si>
  <si>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</si>
  <si>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</si>
  <si>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</si>
  <si>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</si>
  <si>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</si>
  <si>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</si>
  <si>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</si>
  <si>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</si>
  <si>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</si>
  <si>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</si>
  <si>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</si>
  <si>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</si>
  <si>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</si>
  <si>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</si>
  <si>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</si>
  <si>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</si>
  <si>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</si>
  <si>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</si>
  <si>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</si>
  <si>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</si>
  <si>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</si>
  <si>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</si>
  <si>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</si>
  <si>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</si>
  <si>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</si>
  <si>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</si>
  <si>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</si>
  <si>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</si>
  <si>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</si>
  <si>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</si>
  <si>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</si>
  <si>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</si>
  <si>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</si>
  <si>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</si>
  <si>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</si>
  <si>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</si>
  <si>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</si>
  <si>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</si>
  <si>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</si>
  <si>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</si>
  <si>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</si>
  <si>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</si>
  <si>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</si>
  <si>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</si>
  <si>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</si>
  <si>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</si>
  <si>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</si>
  <si>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</si>
  <si>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</si>
  <si>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</si>
  <si>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</si>
  <si>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</si>
  <si>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</si>
  <si>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</si>
  <si>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</si>
  <si>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</si>
  <si>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</si>
  <si>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</si>
  <si>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</si>
  <si>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</si>
  <si>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</si>
  <si>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</si>
  <si>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</si>
  <si>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</si>
  <si>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</si>
  <si>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</si>
  <si>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</si>
  <si>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</si>
  <si>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</si>
  <si>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</si>
  <si>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</si>
  <si>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</si>
  <si>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</si>
  <si>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</si>
  <si>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</si>
  <si>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</si>
  <si>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</si>
  <si>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</si>
  <si>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</si>
  <si>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</si>
  <si>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</si>
  <si>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</si>
  <si>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</si>
  <si>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</si>
  <si>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</si>
  <si>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</si>
  <si>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</si>
  <si>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</si>
  <si>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</si>
  <si>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</si>
  <si>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</si>
  <si>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</si>
  <si>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</si>
  <si>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</si>
  <si>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</si>
  <si>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</si>
  <si>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</si>
  <si>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</si>
  <si>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</si>
  <si>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</si>
  <si>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</si>
  <si>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</si>
  <si>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</si>
  <si>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</si>
  <si>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</si>
  <si>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</si>
  <si>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</si>
  <si>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</si>
  <si>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</si>
  <si>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</si>
  <si>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</si>
  <si>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</si>
  <si>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</si>
  <si>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</si>
  <si>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</si>
  <si>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</si>
  <si>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</si>
  <si>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</si>
  <si>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</si>
  <si>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</si>
  <si>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</si>
  <si>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</si>
  <si>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</si>
  <si>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</si>
  <si>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</si>
  <si>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</si>
  <si>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</si>
  <si>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</si>
  <si>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</si>
  <si>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</si>
  <si>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</si>
  <si>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</si>
  <si>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</si>
  <si>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</si>
  <si>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</si>
  <si>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</si>
  <si>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</si>
  <si>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</si>
  <si>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</si>
  <si>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</si>
  <si>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</si>
  <si>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</si>
  <si>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</si>
  <si>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</si>
  <si>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</si>
  <si>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</si>
  <si>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</si>
  <si>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</si>
  <si>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</si>
  <si>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</si>
  <si>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</si>
  <si>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</si>
  <si>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</si>
  <si>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</si>
  <si>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</si>
  <si>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</si>
  <si>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</si>
  <si>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</si>
  <si>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</si>
  <si>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</si>
  <si>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</si>
  <si>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</si>
  <si>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</si>
  <si>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</si>
  <si>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</si>
  <si>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</si>
  <si>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</si>
  <si>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</si>
  <si>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</si>
  <si>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</si>
  <si>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</si>
  <si>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</si>
  <si>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</si>
  <si>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</si>
  <si>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</si>
  <si>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</si>
  <si>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</si>
  <si>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</si>
  <si>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</si>
  <si>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</si>
  <si>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</si>
  <si>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</si>
  <si>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</si>
  <si>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</si>
  <si>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</si>
  <si>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</si>
  <si>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</si>
  <si>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</si>
  <si>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</si>
  <si>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</si>
  <si>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</si>
  <si>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</si>
  <si>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</si>
  <si>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</si>
  <si>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</si>
  <si>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</si>
  <si>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</si>
  <si>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</si>
  <si>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</si>
  <si>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</si>
  <si>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</si>
  <si>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</si>
  <si>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</si>
  <si>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</si>
  <si>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</si>
  <si>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</si>
  <si>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</si>
  <si>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</si>
  <si>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</si>
  <si>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</si>
  <si>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</si>
  <si>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</si>
  <si>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</si>
  <si>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</si>
  <si>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</si>
  <si>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</si>
  <si>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</si>
  <si>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</si>
  <si>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</si>
  <si>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</si>
  <si>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</si>
  <si>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</si>
  <si>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</si>
  <si>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</si>
  <si>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</si>
  <si>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</si>
  <si>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</si>
  <si>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</si>
  <si>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</si>
  <si>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</si>
  <si>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</si>
  <si>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</si>
  <si>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</si>
  <si>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</si>
  <si>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</si>
  <si>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</si>
  <si>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</si>
  <si>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</si>
  <si>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</si>
  <si>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</si>
  <si>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</si>
  <si>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</si>
  <si>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</si>
  <si>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</si>
  <si>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</si>
  <si>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</si>
  <si>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</si>
  <si>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</si>
  <si>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</si>
  <si>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</si>
  <si>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</si>
  <si>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</si>
  <si>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</si>
  <si>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</si>
  <si>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</si>
  <si>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</si>
  <si>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</si>
  <si>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</si>
  <si>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</si>
  <si>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</si>
  <si>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</si>
  <si>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</si>
  <si>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</si>
  <si>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</si>
  <si>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</si>
  <si>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</si>
  <si>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</si>
  <si>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</si>
  <si>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</si>
  <si>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</si>
  <si>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</si>
  <si>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</si>
  <si>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</si>
  <si>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</si>
  <si>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</si>
  <si>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</si>
  <si>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</si>
  <si>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</si>
  <si>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</si>
  <si>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</si>
  <si>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</si>
  <si>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</si>
  <si>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</si>
  <si>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</si>
  <si>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</si>
  <si>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</si>
  <si>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</si>
  <si>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</si>
  <si>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</si>
  <si>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</si>
  <si>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</si>
  <si>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</si>
  <si>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</si>
  <si>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</si>
  <si>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</si>
  <si>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</si>
  <si>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</si>
  <si>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</si>
  <si>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</si>
  <si>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</si>
  <si>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</si>
  <si>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</si>
  <si>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</si>
  <si>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</si>
  <si>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</si>
  <si>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</si>
  <si>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</si>
  <si>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</si>
  <si>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</si>
  <si>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</si>
  <si>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</si>
  <si>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</si>
  <si>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</si>
  <si>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</si>
  <si>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</si>
  <si>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</si>
  <si>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</si>
  <si>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</si>
  <si>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</si>
  <si>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</si>
  <si>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</si>
  <si>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</si>
  <si>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</si>
  <si>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</si>
  <si>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</si>
  <si>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</si>
  <si>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</si>
  <si>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</si>
  <si>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</si>
  <si>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</si>
  <si>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</si>
  <si>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</si>
  <si>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</si>
  <si>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</si>
  <si>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</si>
  <si>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</si>
  <si>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</si>
  <si>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</si>
  <si>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</si>
  <si>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</si>
  <si>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</si>
  <si>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</si>
  <si>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</si>
  <si>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</si>
  <si>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</si>
  <si>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</si>
  <si>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</si>
  <si>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</si>
  <si>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</si>
  <si>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</si>
  <si>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</si>
  <si>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</si>
  <si>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</si>
  <si>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</si>
  <si>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</si>
  <si>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</si>
  <si>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</si>
  <si>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</si>
  <si>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</si>
  <si>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</si>
  <si>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</si>
  <si>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</si>
  <si>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</si>
  <si>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</si>
  <si>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</si>
  <si>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</si>
  <si>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</si>
  <si>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</si>
  <si>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</si>
  <si>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</si>
  <si>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</si>
  <si>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</si>
  <si>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</si>
  <si>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</si>
  <si>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</si>
  <si>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</si>
  <si>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</si>
  <si>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</si>
  <si>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</si>
  <si>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</si>
  <si>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</si>
  <si>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</si>
  <si>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</si>
  <si>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</si>
  <si>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</si>
  <si>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</si>
  <si>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</si>
  <si>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</si>
  <si>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</si>
  <si>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</si>
  <si>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</si>
  <si>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</si>
  <si>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</si>
  <si>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</si>
  <si>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</si>
  <si>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</si>
  <si>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</si>
  <si>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</si>
  <si>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</si>
  <si>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</si>
  <si>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</si>
  <si>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</si>
  <si>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</si>
  <si>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</si>
  <si>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</si>
  <si>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</si>
  <si>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</si>
  <si>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</si>
  <si>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</si>
  <si>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</si>
  <si>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</si>
  <si>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</si>
  <si>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</si>
  <si>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</si>
  <si>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</si>
  <si>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</si>
  <si>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</si>
  <si>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</si>
  <si>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</si>
  <si>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</si>
  <si>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</si>
  <si>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</si>
  <si>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</si>
  <si>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</si>
  <si>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</si>
  <si>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</si>
  <si>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</si>
  <si>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</si>
  <si>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</si>
  <si>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</si>
  <si>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</si>
  <si>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</si>
  <si>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</si>
  <si>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</si>
  <si>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</si>
  <si>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</si>
  <si>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</si>
  <si>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</si>
  <si>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</si>
  <si>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</si>
  <si>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</si>
  <si>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</si>
  <si>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</si>
  <si>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</si>
  <si>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</si>
  <si>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</si>
  <si>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</si>
  <si>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</si>
  <si>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</si>
  <si>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</si>
  <si>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</si>
  <si>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</si>
  <si>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</si>
  <si>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</si>
  <si>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</si>
  <si>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</si>
  <si>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</si>
  <si>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</si>
  <si>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</si>
  <si>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</si>
  <si>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</si>
  <si>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</si>
  <si>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</si>
  <si>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</si>
  <si>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</si>
  <si>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</si>
  <si>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</si>
  <si>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</si>
  <si>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</si>
  <si>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</si>
  <si>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</si>
  <si>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</si>
  <si>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</si>
  <si>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</si>
  <si>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</si>
  <si>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</si>
  <si>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</si>
  <si>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</si>
  <si>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</si>
  <si>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</si>
  <si>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</si>
  <si>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</si>
  <si>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</si>
  <si>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</si>
  <si>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</si>
  <si>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</si>
  <si>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</si>
  <si>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</si>
  <si>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</si>
  <si>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</si>
  <si>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</si>
  <si>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</si>
  <si>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</si>
  <si>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</si>
  <si>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</si>
  <si>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</si>
  <si>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</si>
  <si>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</si>
  <si>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</si>
  <si>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</si>
  <si>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</si>
  <si>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</si>
  <si>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</si>
  <si>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</si>
  <si>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</si>
  <si>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</si>
  <si>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</si>
  <si>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</si>
  <si>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</si>
  <si>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</si>
  <si>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</si>
  <si>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</si>
  <si>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</si>
  <si>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</si>
  <si>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</si>
  <si>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</si>
  <si>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</si>
  <si>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</si>
  <si>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</si>
  <si>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</si>
  <si>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</si>
  <si>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</si>
  <si>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</si>
  <si>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</si>
  <si>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</si>
  <si>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</si>
  <si>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</si>
  <si>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</si>
  <si>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</si>
  <si>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</si>
  <si>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</si>
  <si>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</si>
  <si>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</si>
  <si>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</si>
  <si>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</si>
  <si>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</si>
  <si>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</si>
  <si>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</si>
  <si>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</si>
  <si>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</si>
  <si>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</si>
  <si>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</si>
  <si>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</si>
  <si>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</si>
  <si>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</si>
  <si>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</si>
  <si>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</si>
  <si>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</si>
  <si>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</si>
  <si>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</si>
  <si>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</si>
  <si>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</si>
  <si>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</si>
  <si>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</si>
  <si>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</si>
  <si>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</si>
  <si>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</si>
  <si>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</si>
  <si>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</si>
  <si>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</si>
  <si>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</si>
  <si>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</si>
  <si>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</si>
  <si>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</si>
  <si>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</si>
  <si>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</si>
  <si>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</si>
  <si>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</si>
  <si>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</si>
  <si>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</si>
  <si>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</si>
  <si>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</si>
  <si>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</si>
  <si>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</si>
  <si>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</si>
  <si>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</si>
  <si>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</si>
  <si>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</si>
  <si>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</si>
  <si>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</si>
  <si>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</si>
  <si>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</si>
  <si>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</si>
  <si>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</si>
  <si>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</si>
  <si>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</si>
  <si>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</si>
  <si>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</si>
  <si>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</si>
  <si>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</si>
  <si>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</si>
  <si>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</si>
  <si>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</si>
  <si>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</si>
  <si>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</si>
  <si>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</si>
  <si>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</si>
  <si>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</si>
  <si>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</si>
  <si>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</si>
  <si>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</si>
  <si>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</si>
  <si>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</si>
  <si>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</si>
  <si>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</si>
  <si>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</si>
  <si>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</si>
  <si>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</si>
  <si>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</si>
  <si>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</si>
  <si>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</si>
  <si>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</si>
  <si>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</si>
  <si>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</si>
  <si>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</si>
  <si>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</si>
  <si>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</si>
  <si>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</si>
  <si>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</si>
  <si>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</si>
  <si>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</si>
  <si>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</si>
  <si>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</si>
  <si>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</si>
  <si>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</si>
  <si>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</si>
  <si>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</si>
  <si>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</si>
  <si>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</si>
  <si>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</si>
  <si>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</si>
  <si>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</si>
  <si>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</si>
  <si>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</si>
  <si>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</si>
  <si>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</si>
  <si>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</si>
  <si>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</si>
  <si>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</si>
  <si>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</si>
  <si>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</si>
  <si>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</si>
  <si>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</si>
  <si>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</si>
  <si>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</si>
  <si>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</si>
  <si>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</si>
  <si>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</si>
  <si>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</si>
  <si>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</si>
  <si>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</si>
  <si>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</si>
  <si>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</si>
  <si>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</si>
  <si>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</si>
  <si>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</si>
  <si>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</si>
  <si>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</si>
  <si>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</si>
  <si>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</si>
  <si>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</si>
  <si>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</si>
  <si>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</si>
  <si>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</si>
  <si>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</si>
  <si>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</si>
  <si>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</si>
  <si>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</si>
  <si>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</si>
  <si>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</si>
  <si>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</si>
  <si>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</si>
  <si>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</si>
  <si>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</si>
  <si>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</si>
  <si>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</si>
  <si>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</si>
  <si>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</si>
  <si>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</si>
  <si>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</si>
  <si>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</si>
  <si>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</si>
  <si>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</si>
  <si>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</si>
  <si>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</si>
  <si>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</si>
  <si>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</si>
  <si>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</si>
  <si>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</si>
  <si>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</si>
  <si>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</si>
  <si>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</si>
  <si>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</si>
  <si>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</si>
  <si>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</si>
  <si>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</si>
  <si>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</si>
  <si>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</si>
  <si>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</si>
  <si>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</si>
  <si>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</si>
  <si>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</si>
  <si>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</si>
  <si>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</si>
  <si>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</si>
  <si>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</si>
  <si>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</si>
  <si>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</si>
  <si>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</si>
  <si>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</si>
  <si>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</si>
  <si>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</si>
  <si>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</si>
  <si>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</si>
  <si>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</si>
  <si>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</si>
  <si>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</si>
  <si>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</si>
  <si>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</si>
  <si>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</si>
  <si>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</si>
  <si>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</si>
  <si>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</si>
  <si>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</si>
  <si>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</si>
  <si>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</si>
  <si>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</si>
  <si>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</si>
  <si>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</si>
  <si>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</si>
  <si>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</si>
  <si>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</si>
  <si>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</si>
  <si>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</si>
  <si>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</si>
  <si>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</si>
  <si>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</si>
  <si>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</si>
  <si>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</si>
  <si>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</si>
  <si>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</si>
  <si>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</si>
  <si>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</si>
  <si>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</si>
  <si>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</si>
  <si>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</si>
  <si>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</si>
  <si>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</si>
  <si>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</si>
  <si>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</si>
  <si>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</si>
  <si>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</si>
  <si>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</si>
  <si>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</si>
  <si>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</si>
  <si>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</si>
  <si>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</si>
  <si>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</si>
  <si>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</si>
  <si>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</si>
  <si>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</si>
  <si>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</si>
  <si>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</si>
  <si>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</si>
  <si>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</si>
  <si>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</si>
  <si>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</si>
  <si>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</si>
  <si>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</si>
  <si>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</si>
  <si>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</si>
  <si>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</si>
  <si>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</si>
  <si>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</si>
  <si>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</si>
  <si>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</si>
  <si>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</si>
  <si>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</si>
  <si>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</si>
  <si>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</si>
  <si>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</si>
  <si>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</si>
  <si>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</si>
  <si>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</si>
  <si>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</si>
  <si>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</si>
  <si>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</si>
  <si>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</si>
  <si>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</si>
  <si>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</si>
  <si>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</si>
  <si>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</si>
  <si>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</si>
  <si>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</si>
  <si>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</si>
  <si>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</si>
  <si>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</si>
  <si>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</si>
  <si>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</si>
  <si>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</si>
  <si>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</si>
  <si>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</si>
  <si>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</si>
  <si>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</si>
  <si>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</si>
  <si>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</si>
  <si>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</si>
  <si>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</si>
  <si>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</si>
  <si>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</si>
  <si>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</si>
  <si>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</si>
  <si>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</si>
  <si>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</si>
  <si>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</si>
  <si>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</si>
  <si>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</si>
  <si>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</si>
  <si>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</si>
  <si>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</si>
  <si>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</si>
  <si>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</si>
  <si>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</si>
  <si>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</si>
  <si>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</si>
  <si>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</si>
  <si>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</si>
  <si>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</si>
  <si>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</si>
  <si>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</si>
  <si>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</si>
  <si>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</si>
  <si>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</si>
  <si>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</si>
  <si>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</si>
  <si>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</si>
  <si>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</si>
  <si>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</si>
  <si>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</si>
  <si>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</si>
  <si>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</si>
  <si>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</si>
  <si>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</si>
  <si>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</si>
  <si>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</si>
  <si>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</si>
  <si>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</si>
  <si>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</si>
  <si>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</si>
  <si>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</si>
  <si>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</si>
  <si>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</si>
  <si>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</si>
  <si>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</si>
  <si>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</si>
  <si>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</si>
  <si>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</si>
  <si>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</si>
  <si>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</si>
  <si>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</si>
  <si>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</si>
  <si>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</si>
  <si>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</si>
  <si>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</si>
  <si>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</si>
  <si>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</si>
  <si>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</si>
  <si>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</si>
  <si>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</si>
  <si>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</si>
  <si>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</si>
  <si>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</si>
  <si>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</si>
  <si>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</si>
  <si>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</si>
  <si>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</si>
  <si>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</si>
  <si>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</si>
  <si>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</si>
  <si>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</si>
  <si>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</si>
  <si>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</si>
  <si>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</si>
  <si>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</si>
  <si>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</si>
  <si>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</si>
  <si>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</si>
  <si>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</si>
  <si>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</si>
  <si>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</si>
  <si>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</si>
  <si>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</si>
  <si>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</si>
  <si>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</si>
  <si>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</si>
  <si>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</si>
  <si>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</si>
  <si>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</si>
  <si>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</si>
  <si>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</si>
  <si>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</si>
  <si>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</si>
  <si>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</si>
  <si>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</si>
  <si>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</si>
  <si>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</si>
  <si>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</si>
  <si>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</si>
  <si>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</si>
  <si>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</si>
  <si>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</si>
  <si>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</si>
  <si>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</si>
  <si>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</si>
  <si>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</si>
  <si>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</si>
  <si>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</si>
  <si>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</si>
  <si>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</si>
  <si>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</si>
  <si>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</si>
  <si>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</si>
  <si>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</si>
  <si>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</si>
  <si>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</si>
  <si>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</si>
  <si>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</si>
  <si>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</si>
  <si>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</si>
  <si>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</si>
  <si>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</si>
  <si>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</si>
  <si>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</si>
  <si>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</si>
  <si>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</si>
  <si>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</si>
  <si>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</si>
  <si>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</si>
  <si>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</si>
  <si>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</si>
  <si>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</si>
  <si>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</si>
  <si>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</si>
  <si>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</si>
  <si>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</si>
  <si>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</si>
  <si>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</si>
  <si>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</si>
  <si>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</si>
  <si>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</si>
  <si>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</si>
  <si>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</si>
  <si>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</si>
  <si>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</si>
  <si>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</si>
  <si>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</si>
  <si>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</si>
  <si>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</si>
  <si>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</si>
  <si>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</si>
  <si>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</si>
  <si>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</si>
  <si>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</si>
  <si>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</si>
  <si>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</si>
  <si>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</si>
  <si>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</si>
  <si>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</si>
  <si>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</si>
  <si>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</si>
  <si>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</si>
  <si>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</si>
  <si>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</si>
  <si>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</si>
  <si>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</si>
  <si>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</si>
  <si>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</si>
  <si>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</si>
  <si>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</si>
  <si>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</si>
  <si>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</si>
  <si>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</si>
  <si>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</si>
  <si>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</si>
  <si>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</si>
  <si>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</si>
  <si>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</si>
  <si>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</si>
  <si>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</si>
  <si>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</si>
  <si>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</si>
  <si>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</si>
  <si>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</si>
  <si>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</si>
  <si>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</si>
  <si>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</si>
  <si>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</si>
  <si>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</si>
  <si>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</si>
  <si>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</si>
  <si>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</si>
  <si>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</si>
  <si>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</si>
  <si>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</si>
  <si>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</si>
  <si>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</si>
  <si>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</si>
  <si>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</si>
  <si>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</si>
  <si>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</si>
  <si>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</si>
  <si>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</si>
  <si>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</si>
  <si>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</si>
  <si>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</si>
  <si>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</si>
  <si>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</si>
  <si>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</si>
  <si>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</si>
  <si>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</si>
  <si>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</si>
  <si>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</si>
  <si>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</si>
  <si>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</si>
  <si>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</si>
  <si>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</si>
  <si>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</si>
  <si>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</si>
  <si>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</si>
  <si>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</si>
  <si>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</si>
  <si>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</si>
  <si>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</si>
  <si>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</si>
  <si>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</si>
  <si>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</si>
  <si>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</si>
  <si>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</si>
  <si>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</si>
  <si>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</si>
  <si>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</si>
  <si>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</si>
  <si>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</si>
  <si>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</si>
  <si>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</si>
  <si>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</si>
  <si>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</si>
  <si>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</si>
  <si>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</si>
  <si>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</si>
  <si>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</si>
  <si>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</si>
  <si>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</si>
  <si>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</si>
  <si>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</si>
  <si>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</si>
  <si>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</si>
  <si>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</si>
  <si>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</si>
  <si>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</si>
  <si>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</si>
  <si>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</si>
  <si>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</si>
  <si>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</si>
  <si>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</si>
  <si>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</si>
  <si>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</si>
  <si>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</si>
  <si>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</si>
  <si>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</si>
  <si>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</si>
  <si>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</si>
  <si>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</si>
  <si>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</si>
  <si>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</si>
  <si>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</si>
  <si>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</si>
  <si>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</si>
  <si>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</si>
  <si>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</si>
  <si>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</si>
  <si>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</si>
  <si>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</si>
  <si>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</si>
  <si>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</si>
  <si>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</si>
  <si>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</si>
  <si>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</si>
  <si>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</si>
  <si>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</si>
  <si>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</si>
  <si>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</si>
  <si>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</si>
  <si>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</si>
  <si>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</si>
  <si>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</si>
  <si>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</si>
  <si>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</si>
  <si>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</si>
  <si>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</si>
  <si>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</si>
  <si>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</si>
  <si>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</si>
  <si>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</si>
  <si>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</si>
  <si>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</si>
  <si>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</si>
  <si>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</si>
  <si>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</si>
  <si>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</si>
  <si>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</si>
  <si>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</si>
  <si>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</si>
  <si>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</si>
  <si>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</si>
  <si>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</si>
  <si>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</si>
  <si>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</si>
  <si>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</si>
  <si>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</si>
  <si>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</si>
  <si>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</si>
  <si>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</si>
  <si>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</si>
  <si>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</si>
  <si>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</si>
  <si>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</si>
  <si>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</si>
  <si>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</si>
  <si>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</si>
  <si>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</si>
  <si>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</si>
  <si>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</si>
  <si>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</si>
  <si>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</si>
  <si>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</si>
  <si>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</si>
  <si>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</si>
  <si>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</si>
  <si>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</si>
  <si>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</si>
  <si>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</si>
  <si>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</si>
  <si>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</si>
  <si>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</si>
  <si>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</si>
  <si>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</si>
  <si>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</si>
  <si>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</si>
  <si>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</si>
  <si>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</si>
  <si>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</si>
  <si>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</si>
  <si>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</si>
  <si>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</si>
  <si>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</si>
  <si>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</si>
  <si>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</si>
  <si>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</si>
  <si>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</si>
  <si>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</si>
  <si>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</si>
  <si>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</si>
  <si>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</si>
  <si>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</si>
  <si>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</si>
  <si>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</si>
  <si>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</si>
  <si>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</si>
  <si>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</si>
  <si>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</si>
  <si>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</si>
  <si>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</si>
  <si>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</si>
  <si>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</si>
  <si>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</si>
  <si>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</si>
  <si>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</si>
  <si>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</si>
  <si>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</si>
  <si>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</si>
  <si>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</si>
  <si>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</si>
  <si>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</si>
  <si>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</si>
  <si>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</si>
  <si>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</si>
  <si>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</si>
  <si>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</si>
  <si>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</si>
  <si>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</si>
  <si>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</si>
  <si>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</si>
  <si>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</si>
  <si>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</si>
  <si>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</si>
  <si>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</si>
  <si>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</si>
  <si>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</si>
  <si>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</si>
  <si>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</si>
  <si>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</si>
  <si>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</si>
  <si>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</si>
  <si>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</si>
  <si>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</si>
  <si>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</si>
  <si>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</si>
  <si>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</si>
  <si>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</si>
  <si>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</si>
  <si>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</si>
  <si>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</si>
  <si>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</si>
  <si>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</si>
  <si>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</si>
  <si>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</si>
  <si>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</si>
  <si>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</si>
  <si>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</si>
  <si>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</si>
  <si>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</si>
  <si>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</si>
  <si>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</si>
  <si>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</si>
  <si>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</si>
  <si>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</si>
  <si>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</si>
  <si>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</si>
  <si>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</si>
  <si>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</si>
  <si>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</si>
  <si>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</si>
  <si>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</si>
  <si>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</si>
  <si>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</si>
  <si>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</si>
  <si>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</si>
  <si>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</si>
  <si>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</si>
  <si>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</si>
  <si>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</si>
  <si>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</si>
  <si>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</si>
  <si>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</si>
  <si>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</si>
  <si>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</si>
  <si>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</si>
  <si>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</si>
  <si>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</si>
  <si>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</si>
  <si>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</si>
  <si>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</si>
  <si>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</si>
  <si>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</si>
  <si>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</si>
  <si>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</si>
  <si>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</si>
  <si>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</si>
  <si>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</si>
  <si>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</si>
  <si>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</si>
  <si>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</si>
  <si>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</si>
  <si>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</si>
  <si>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</si>
  <si>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</si>
  <si>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</si>
  <si>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</si>
  <si>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</si>
  <si>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</si>
  <si>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</si>
  <si>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</si>
  <si>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</si>
  <si>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</si>
  <si>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</si>
  <si>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</si>
  <si>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</si>
  <si>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</si>
  <si>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</si>
  <si>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</si>
  <si>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</si>
  <si>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</si>
  <si>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</si>
  <si>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</si>
  <si>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</si>
  <si>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</si>
  <si>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</si>
  <si>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</si>
  <si>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</si>
  <si>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</si>
  <si>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</si>
  <si>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</si>
  <si>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</si>
  <si>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</si>
  <si>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</si>
  <si>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</si>
  <si>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</si>
  <si>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</si>
  <si>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</si>
  <si>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</si>
  <si>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</si>
  <si>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</si>
  <si>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</si>
  <si>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</si>
  <si>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</si>
  <si>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</si>
  <si>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</si>
  <si>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</si>
  <si>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</si>
  <si>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</si>
  <si>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</si>
  <si>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</si>
  <si>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</si>
  <si>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</si>
  <si>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</si>
  <si>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</si>
  <si>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</si>
  <si>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</si>
  <si>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</si>
  <si>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</si>
  <si>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</si>
  <si>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</si>
  <si>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</si>
  <si>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</si>
  <si>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</si>
  <si>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</si>
  <si>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</si>
  <si>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</si>
  <si>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</si>
  <si>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</si>
  <si>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</si>
  <si>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</si>
  <si>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</si>
  <si>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</si>
  <si>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</si>
  <si>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</si>
  <si>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</si>
  <si>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</si>
  <si>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</si>
  <si>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</si>
  <si>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</si>
  <si>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</si>
  <si>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</si>
  <si>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</si>
  <si>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</si>
  <si>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</si>
  <si>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</si>
  <si>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</si>
  <si>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</si>
  <si>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</si>
  <si>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</si>
  <si>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</si>
  <si>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</si>
  <si>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</si>
  <si>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</si>
  <si>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</si>
  <si>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</si>
  <si>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</si>
  <si>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</si>
  <si>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</si>
  <si>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</si>
  <si>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</si>
  <si>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</si>
  <si>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</si>
  <si>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</si>
  <si>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</si>
  <si>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</si>
  <si>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</si>
  <si>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</si>
  <si>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</si>
  <si>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</si>
  <si>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</si>
  <si>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</si>
  <si>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</si>
  <si>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</si>
  <si>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</si>
  <si>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</si>
  <si>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</si>
  <si>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</si>
  <si>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</si>
  <si>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</si>
  <si>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</si>
  <si>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</si>
  <si>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</si>
  <si>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</si>
  <si>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</si>
  <si>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</si>
  <si>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</si>
  <si>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</si>
  <si>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</si>
  <si>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</si>
  <si>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</si>
  <si>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</si>
  <si>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</si>
  <si>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</si>
  <si>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</si>
  <si>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</si>
  <si>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</si>
  <si>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</si>
  <si>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</si>
  <si>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</si>
  <si>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</si>
  <si>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</si>
  <si>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</si>
  <si>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</si>
  <si>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</si>
  <si>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</si>
  <si>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</si>
  <si>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</si>
  <si>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</si>
  <si>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</si>
  <si>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</si>
  <si>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</si>
  <si>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</si>
  <si>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</si>
  <si>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</si>
  <si>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</si>
  <si>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</si>
  <si>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</si>
  <si>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</si>
  <si>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</si>
  <si>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</si>
  <si>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</si>
  <si>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</si>
  <si>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</si>
  <si>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</si>
  <si>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</si>
  <si>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</si>
  <si>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</si>
  <si>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</si>
  <si>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</si>
  <si>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</si>
  <si>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</si>
  <si>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</si>
  <si>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</si>
  <si>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</si>
  <si>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</si>
  <si>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</si>
  <si>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</si>
  <si>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</si>
  <si>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</si>
  <si>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</si>
  <si>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</si>
  <si>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</si>
  <si>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</si>
  <si>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</si>
  <si>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</si>
  <si>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</si>
  <si>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</si>
  <si>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</si>
  <si>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</si>
  <si>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</si>
  <si>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</si>
  <si>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</si>
  <si>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</si>
  <si>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</si>
  <si>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</si>
  <si>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</si>
  <si>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</si>
  <si>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</si>
  <si>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</si>
  <si>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</si>
  <si>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</si>
  <si>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</si>
  <si>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</si>
  <si>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</si>
  <si>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</si>
  <si>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</si>
  <si>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</si>
  <si>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</si>
  <si>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</si>
  <si>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</si>
  <si>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</si>
  <si>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</si>
  <si>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</si>
  <si>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</si>
  <si>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</si>
  <si>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</si>
  <si>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</si>
  <si>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</si>
  <si>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</si>
  <si>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</si>
  <si>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</si>
  <si>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</si>
  <si>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</si>
  <si>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</si>
  <si>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</si>
  <si>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</si>
  <si>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</si>
  <si>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</si>
  <si>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</si>
  <si>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</si>
  <si>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</si>
  <si>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</si>
  <si>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</si>
  <si>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</si>
  <si>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</si>
  <si>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</si>
  <si>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</si>
  <si>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</si>
  <si>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</si>
  <si>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</si>
  <si>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</si>
  <si>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</si>
  <si>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</si>
  <si>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</si>
  <si>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</si>
  <si>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</si>
  <si>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</si>
  <si>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</si>
  <si>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</si>
  <si>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</si>
  <si>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</si>
  <si>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</si>
  <si>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</si>
  <si>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</si>
  <si>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</si>
  <si>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</si>
  <si>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</si>
  <si>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</si>
  <si>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</si>
  <si>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</si>
  <si>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</si>
  <si>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</si>
  <si>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</si>
  <si>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</si>
  <si>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</si>
  <si>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</si>
  <si>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</si>
  <si>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</si>
  <si>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</si>
  <si>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</si>
  <si>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</si>
  <si>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</si>
  <si>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</si>
  <si>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</si>
  <si>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</si>
  <si>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</si>
  <si>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</si>
  <si>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</si>
  <si>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</si>
  <si>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</si>
  <si>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</si>
  <si>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</si>
  <si>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</si>
  <si>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</si>
  <si>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</si>
  <si>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</si>
  <si>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</si>
  <si>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</si>
  <si>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</si>
  <si>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</si>
  <si>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</si>
  <si>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</si>
  <si>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</si>
  <si>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</si>
  <si>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</si>
  <si>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</si>
  <si>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</si>
  <si>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</si>
  <si>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</si>
  <si>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</si>
  <si>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</si>
  <si>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</si>
  <si>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</si>
  <si>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</si>
  <si>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</si>
  <si>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</si>
  <si>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</si>
  <si>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</si>
  <si>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</si>
  <si>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</si>
  <si>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</si>
  <si>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</si>
  <si>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</si>
  <si>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</si>
  <si>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</si>
  <si>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</si>
  <si>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</si>
  <si>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</si>
  <si>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</si>
  <si>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</si>
  <si>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</si>
  <si>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</si>
  <si>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</si>
  <si>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</si>
  <si>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</si>
  <si>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</si>
  <si>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</si>
  <si>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</si>
  <si>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</si>
  <si>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</si>
  <si>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</si>
  <si>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</si>
  <si>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</si>
  <si>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</si>
  <si>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</si>
  <si>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</si>
  <si>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</si>
  <si>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</si>
  <si>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</si>
  <si>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</si>
  <si>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</si>
  <si>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</si>
  <si>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</si>
  <si>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</si>
  <si>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</si>
  <si>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</si>
  <si>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</si>
  <si>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</si>
  <si>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</si>
  <si>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</si>
  <si>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</si>
  <si>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</si>
  <si>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</si>
  <si>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</si>
  <si>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</si>
  <si>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</si>
  <si>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</si>
  <si>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</si>
  <si>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</si>
  <si>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</si>
  <si>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</si>
  <si>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</si>
  <si>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</si>
  <si>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</si>
  <si>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</si>
  <si>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</si>
  <si>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</si>
  <si>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</si>
  <si>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</si>
  <si>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</si>
  <si>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</si>
  <si>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</si>
  <si>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</si>
  <si>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</si>
  <si>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</si>
  <si>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</si>
  <si>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</si>
  <si>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</si>
  <si>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</si>
  <si>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</si>
  <si>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</si>
  <si>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</si>
  <si>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</si>
  <si>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</si>
  <si>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</si>
  <si>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</si>
  <si>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</si>
  <si>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</si>
  <si>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</si>
  <si>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</si>
  <si>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</si>
  <si>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</si>
  <si>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</si>
  <si>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</si>
  <si>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</si>
  <si>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</si>
  <si>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</si>
  <si>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</si>
  <si>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</si>
  <si>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</si>
  <si>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</si>
  <si>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</si>
  <si>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</si>
  <si>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</si>
  <si>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</si>
  <si>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</si>
  <si>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</si>
  <si>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</si>
  <si>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</si>
  <si>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</si>
  <si>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</si>
  <si>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</si>
  <si>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</si>
  <si>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</si>
  <si>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</si>
  <si>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</si>
  <si>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</si>
  <si>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</si>
  <si>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</si>
  <si>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</si>
  <si>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</si>
  <si>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</si>
  <si>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</si>
  <si>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</si>
  <si>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</si>
  <si>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</si>
  <si>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</si>
  <si>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</si>
  <si>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</si>
  <si>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</si>
  <si>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</si>
  <si>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</si>
  <si>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</si>
  <si>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</si>
  <si>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</si>
  <si>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</si>
  <si>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</si>
  <si>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</si>
  <si>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</si>
  <si>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</si>
  <si>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</si>
  <si>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</si>
  <si>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</si>
  <si>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</si>
  <si>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</si>
  <si>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</si>
  <si>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</si>
  <si>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</si>
  <si>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</si>
  <si>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</si>
  <si>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</si>
  <si>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</si>
  <si>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</si>
  <si>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</si>
  <si>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</si>
  <si>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</si>
  <si>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</si>
  <si>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</si>
  <si>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</si>
  <si>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</si>
  <si>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</si>
  <si>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</si>
  <si>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</si>
  <si>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</si>
  <si>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</si>
  <si>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</si>
  <si>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</si>
  <si>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</si>
  <si>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</si>
  <si>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</si>
  <si>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</si>
  <si>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</si>
  <si>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</si>
  <si>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</si>
  <si>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</si>
  <si>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</si>
  <si>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</si>
  <si>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</si>
  <si>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</si>
  <si>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</si>
  <si>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</si>
  <si>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</si>
  <si>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</si>
  <si>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</si>
  <si>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</si>
  <si>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</si>
  <si>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</si>
  <si>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</si>
  <si>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</si>
  <si>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</si>
  <si>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</si>
  <si>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</si>
  <si>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</si>
  <si>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</si>
  <si>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</si>
  <si>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</si>
  <si>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</si>
  <si>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</si>
  <si>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</si>
  <si>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</si>
  <si>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</si>
  <si>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</si>
  <si>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</si>
  <si>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</si>
  <si>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</si>
  <si>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</si>
  <si>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</si>
  <si>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</si>
  <si>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</si>
  <si>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</si>
  <si>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</si>
  <si>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</si>
  <si>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</si>
  <si>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</si>
  <si>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</si>
  <si>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</si>
  <si>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</si>
  <si>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</si>
  <si>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</si>
  <si>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</si>
  <si>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</si>
  <si>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</si>
  <si>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</si>
  <si>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</si>
  <si>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</si>
  <si>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</si>
  <si>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</si>
  <si>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</si>
  <si>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</si>
  <si>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</si>
  <si>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</si>
  <si>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</si>
  <si>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</si>
  <si>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</si>
  <si>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</si>
  <si>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</si>
  <si>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</si>
  <si>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</si>
  <si>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</si>
  <si>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</si>
  <si>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</si>
  <si>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</si>
  <si>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</si>
  <si>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</si>
  <si>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</si>
  <si>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</si>
  <si>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</si>
  <si>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</si>
  <si>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</si>
  <si>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</si>
  <si>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</si>
  <si>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</si>
  <si>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</si>
  <si>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</si>
  <si>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</si>
  <si>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</si>
  <si>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</si>
  <si>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</si>
  <si>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</si>
  <si>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</si>
  <si>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</si>
  <si>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</si>
  <si>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</si>
  <si>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</si>
  <si>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</si>
  <si>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</si>
  <si>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</si>
  <si>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</si>
  <si>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</si>
  <si>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</si>
  <si>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</si>
  <si>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</si>
  <si>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</si>
  <si>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</si>
  <si>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</si>
  <si>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</si>
  <si>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</si>
  <si>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</si>
  <si>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</si>
  <si>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</si>
  <si>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</si>
  <si>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</si>
  <si>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</si>
  <si>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</si>
  <si>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</si>
  <si>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</si>
  <si>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</si>
  <si>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</si>
  <si>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</si>
  <si>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</si>
  <si>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</si>
  <si>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</si>
  <si>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</si>
  <si>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</si>
  <si>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</si>
  <si>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</si>
  <si>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</si>
  <si>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</si>
  <si>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</si>
  <si>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</si>
  <si>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</si>
  <si>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</si>
  <si>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</si>
  <si>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</si>
  <si>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</si>
  <si>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</si>
  <si>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</si>
  <si>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</si>
  <si>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</si>
  <si>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</si>
  <si>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</si>
  <si>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</si>
  <si>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</si>
  <si>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</si>
  <si>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</si>
  <si>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</si>
  <si>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</si>
  <si>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</si>
  <si>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</si>
  <si>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</si>
  <si>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</si>
  <si>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</si>
  <si>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</si>
  <si>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</si>
  <si>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</si>
  <si>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</si>
  <si>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</si>
  <si>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</si>
  <si>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</si>
  <si>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</si>
  <si>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</si>
  <si>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</si>
  <si>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</si>
  <si>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</si>
  <si>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</si>
  <si>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</si>
  <si>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</si>
  <si>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</si>
  <si>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</si>
  <si>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</si>
  <si>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</si>
  <si>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</si>
  <si>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</si>
  <si>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</si>
  <si>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</si>
  <si>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</si>
  <si>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</si>
  <si>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</si>
  <si>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</si>
  <si>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</si>
  <si>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</si>
  <si>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</si>
  <si>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</si>
  <si>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</si>
  <si>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</si>
  <si>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</si>
  <si>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</si>
  <si>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</si>
  <si>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</si>
  <si>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</si>
  <si>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</si>
  <si>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</si>
  <si>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</si>
  <si>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</si>
  <si>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</si>
  <si>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</si>
  <si>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</si>
  <si>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</si>
  <si>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</si>
  <si>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</si>
  <si>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</si>
  <si>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</si>
  <si>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</si>
  <si>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</si>
  <si>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</si>
  <si>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</si>
  <si>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</si>
  <si>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</si>
  <si>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</si>
  <si>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</si>
  <si>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</si>
  <si>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</si>
  <si>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</si>
  <si>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</si>
  <si>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</si>
  <si>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</si>
  <si>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</si>
  <si>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</si>
  <si>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</si>
  <si>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</si>
  <si>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</si>
  <si>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</si>
  <si>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</si>
  <si>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</si>
  <si>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</si>
  <si>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</si>
  <si>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</si>
  <si>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</si>
  <si>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</si>
  <si>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</si>
  <si>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</si>
  <si>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</si>
  <si>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</si>
  <si>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</si>
  <si>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</si>
  <si>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</si>
  <si>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</si>
  <si>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</si>
  <si>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</si>
  <si>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</si>
  <si>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</si>
  <si>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</si>
  <si>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</si>
  <si>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</si>
  <si>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</si>
  <si>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</si>
  <si>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</si>
  <si>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</si>
  <si>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</si>
  <si>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</si>
  <si>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</si>
  <si>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</si>
  <si>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</si>
  <si>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</si>
  <si>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</si>
  <si>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</si>
  <si>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</si>
  <si>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</si>
  <si>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</si>
  <si>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</si>
  <si>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</si>
  <si>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</si>
  <si>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</si>
  <si>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</si>
  <si>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</si>
  <si>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</si>
  <si>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</si>
  <si>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</si>
  <si>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</si>
  <si>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</si>
  <si>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</si>
  <si>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</si>
  <si>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</si>
  <si>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</si>
  <si>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</si>
  <si>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</si>
  <si>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</si>
  <si>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</si>
  <si>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</si>
  <si>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</si>
  <si>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</si>
  <si>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</si>
  <si>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</si>
  <si>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</si>
  <si>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</si>
  <si>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</si>
  <si>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</si>
  <si>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</si>
  <si>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</si>
  <si>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</si>
  <si>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</si>
  <si>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</si>
  <si>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</si>
  <si>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</si>
  <si>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</si>
  <si>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</si>
  <si>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</si>
  <si>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</si>
  <si>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</si>
  <si>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</si>
  <si>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</si>
  <si>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</si>
  <si>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</si>
  <si>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</si>
  <si>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</si>
  <si>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</si>
  <si>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</si>
  <si>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</si>
  <si>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</si>
  <si>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</si>
  <si>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</si>
  <si>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</si>
  <si>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</si>
  <si>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</si>
  <si>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</si>
  <si>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</si>
  <si>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</si>
  <si>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</si>
  <si>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</si>
  <si>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</si>
  <si>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</si>
  <si>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</si>
  <si>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</si>
  <si>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</si>
  <si>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</si>
  <si>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</si>
  <si>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</si>
  <si>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</si>
  <si>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</si>
  <si>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</si>
  <si>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</si>
  <si>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</si>
  <si>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</si>
  <si>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</si>
  <si>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</si>
  <si>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</si>
  <si>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</si>
  <si>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</si>
  <si>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</si>
  <si>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</si>
  <si>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</si>
  <si>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</si>
  <si>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</si>
  <si>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</si>
  <si>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</si>
  <si>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</si>
  <si>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</si>
  <si>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</si>
  <si>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</si>
  <si>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</si>
  <si>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</si>
  <si>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</si>
  <si>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</si>
  <si>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</si>
  <si>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</si>
  <si>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</si>
  <si>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</si>
  <si>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</si>
  <si>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</si>
  <si>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</si>
  <si>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</si>
  <si>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</si>
  <si>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</si>
  <si>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</si>
  <si>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</si>
  <si>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</si>
  <si>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</si>
  <si>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</si>
  <si>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</si>
  <si>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</si>
  <si>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</si>
  <si>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</si>
  <si>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</si>
  <si>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</si>
  <si>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</si>
  <si>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</si>
  <si>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</si>
  <si>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</si>
  <si>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</si>
  <si>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</si>
  <si>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</si>
  <si>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</si>
  <si>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</si>
  <si>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</si>
  <si>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</si>
  <si>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</si>
  <si>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</si>
  <si>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</si>
  <si>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</si>
  <si>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</si>
  <si>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</si>
  <si>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</si>
  <si>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</si>
  <si>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</si>
  <si>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</si>
  <si>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</si>
  <si>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</si>
  <si>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</si>
  <si>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</si>
  <si>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</si>
  <si>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</si>
  <si>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</si>
  <si>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</si>
  <si>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</si>
  <si>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</si>
  <si>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</si>
  <si>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</si>
  <si>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</si>
  <si>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</si>
  <si>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</si>
  <si>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</si>
  <si>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</si>
  <si>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</si>
  <si>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</si>
  <si>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</si>
  <si>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</si>
  <si>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</si>
  <si>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</si>
  <si>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</si>
  <si>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</si>
  <si>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</si>
  <si>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</si>
  <si>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</si>
  <si>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</si>
  <si>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</si>
  <si>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</si>
  <si>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</si>
  <si>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</si>
  <si>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</si>
  <si>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</si>
  <si>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</si>
  <si>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</si>
  <si>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</si>
  <si>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</si>
  <si>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</si>
  <si>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</si>
  <si>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</si>
  <si>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</si>
  <si>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</si>
  <si>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</si>
  <si>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</si>
  <si>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</si>
  <si>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</si>
  <si>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</si>
  <si>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</si>
  <si>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</si>
  <si>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</si>
  <si>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</si>
  <si>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</si>
  <si>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</si>
  <si>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</si>
  <si>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</si>
  <si>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</si>
  <si>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</si>
  <si>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</si>
  <si>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</si>
  <si>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</si>
  <si>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</si>
  <si>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</si>
  <si>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</si>
  <si>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</si>
  <si>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</si>
  <si>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</si>
  <si>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</si>
  <si>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</si>
  <si>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</si>
  <si>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</si>
  <si>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</si>
  <si>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</si>
  <si>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</si>
  <si>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</si>
  <si>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</si>
  <si>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</si>
  <si>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</si>
  <si>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</si>
  <si>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</si>
  <si>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</si>
  <si>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</si>
  <si>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</si>
  <si>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</si>
  <si>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</si>
  <si>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</si>
  <si>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</si>
  <si>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</si>
  <si>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</si>
  <si>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</si>
  <si>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</si>
  <si>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</si>
  <si>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</si>
  <si>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</si>
  <si>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</si>
  <si>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</si>
  <si>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</si>
  <si>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</si>
  <si>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</si>
  <si>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</si>
  <si>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</si>
  <si>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</si>
  <si>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</si>
  <si>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</si>
  <si>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</si>
  <si>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</si>
  <si>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</si>
  <si>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</si>
  <si>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</si>
  <si>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</si>
  <si>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</si>
  <si>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</si>
  <si>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</si>
  <si>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</si>
  <si>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</si>
  <si>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</si>
  <si>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</si>
  <si>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</si>
  <si>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</si>
  <si>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</si>
  <si>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</si>
  <si>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</si>
  <si>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</si>
  <si>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</si>
  <si>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</si>
  <si>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</si>
  <si>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</si>
  <si>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</si>
  <si>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</si>
  <si>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</si>
  <si>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</si>
  <si>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</si>
  <si>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</si>
  <si>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</si>
  <si>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</si>
  <si>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</si>
  <si>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</si>
  <si>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</si>
  <si>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</si>
  <si>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</si>
  <si>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</si>
  <si>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</si>
  <si>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</si>
  <si>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</si>
  <si>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</si>
  <si>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</si>
  <si>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</si>
  <si>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</si>
  <si>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</si>
  <si>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</si>
  <si>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</si>
  <si>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</si>
  <si>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</si>
  <si>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</si>
  <si>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</si>
  <si>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</si>
  <si>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</si>
  <si>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</si>
  <si>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</si>
  <si>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</si>
  <si>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</si>
  <si>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</si>
  <si>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</si>
  <si>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</si>
  <si>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</si>
  <si>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</si>
  <si>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</si>
  <si>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</si>
  <si>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</si>
  <si>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</si>
  <si>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</si>
  <si>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</si>
  <si>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</si>
  <si>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</si>
  <si>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</si>
  <si>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</si>
  <si>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</si>
  <si>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</si>
  <si>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</si>
  <si>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</si>
  <si>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</si>
  <si>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</si>
  <si>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</si>
  <si>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</si>
  <si>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</si>
  <si>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</si>
  <si>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</si>
  <si>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</si>
  <si>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</si>
  <si>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</si>
  <si>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</si>
  <si>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</si>
  <si>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</si>
  <si>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</si>
  <si>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</si>
  <si>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</si>
  <si>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</si>
  <si>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</si>
  <si>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</si>
  <si>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</si>
  <si>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</si>
  <si>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</si>
  <si>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</si>
  <si>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</si>
  <si>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</si>
  <si>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</si>
  <si>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</si>
  <si>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</si>
  <si>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</si>
  <si>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</si>
  <si>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</si>
  <si>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</si>
  <si>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</si>
  <si>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</si>
  <si>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</si>
  <si>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</si>
  <si>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</si>
  <si>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</si>
  <si>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</si>
  <si>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</si>
  <si>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</si>
  <si>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</si>
  <si>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</si>
  <si>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</si>
  <si>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</si>
  <si>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</si>
  <si>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</si>
  <si>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</si>
  <si>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</si>
  <si>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</si>
  <si>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</si>
  <si>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</si>
  <si>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</si>
  <si>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</si>
  <si>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</si>
  <si>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</si>
  <si>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</si>
  <si>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</si>
  <si>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</si>
  <si>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</si>
  <si>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</si>
  <si>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</si>
  <si>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</si>
  <si>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</si>
  <si>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</si>
  <si>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</si>
  <si>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</si>
  <si>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</si>
  <si>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</si>
  <si>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</si>
  <si>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</si>
  <si>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</si>
  <si>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</si>
  <si>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</si>
  <si>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</si>
  <si>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</si>
  <si>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</si>
  <si>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</si>
  <si>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</si>
  <si>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</si>
  <si>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</si>
  <si>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</si>
  <si>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</si>
  <si>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</si>
  <si>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</si>
  <si>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</si>
  <si>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</si>
  <si>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</si>
  <si>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</si>
  <si>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</si>
  <si>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</si>
  <si>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</si>
  <si>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</si>
  <si>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</si>
  <si>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</si>
  <si>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</si>
  <si>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</si>
  <si>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</si>
  <si>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</si>
  <si>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</si>
  <si>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</si>
  <si>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</si>
  <si>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</si>
  <si>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</si>
  <si>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</si>
  <si>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</si>
  <si>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</si>
  <si>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</si>
  <si>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</si>
  <si>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</si>
  <si>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</si>
  <si>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</si>
  <si>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</si>
  <si>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</si>
  <si>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</si>
  <si>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</si>
  <si>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</si>
  <si>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</si>
  <si>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</si>
  <si>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</si>
  <si>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</si>
  <si>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</si>
  <si>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</si>
  <si>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</si>
  <si>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</si>
  <si>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</si>
  <si>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</si>
  <si>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</si>
  <si>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</si>
  <si>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</si>
  <si>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</si>
  <si>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</si>
  <si>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</si>
  <si>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</si>
  <si>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</si>
  <si>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</si>
  <si>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</si>
  <si>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</si>
  <si>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</si>
  <si>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</si>
  <si>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</si>
  <si>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</si>
  <si>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</si>
  <si>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</si>
  <si>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</si>
  <si>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</si>
  <si>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</si>
  <si>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</si>
  <si>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</si>
  <si>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</si>
  <si>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</si>
  <si>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</si>
  <si>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</si>
  <si>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</si>
  <si>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</si>
  <si>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</si>
  <si>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</si>
  <si>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</si>
  <si>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</si>
  <si>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</si>
  <si>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</si>
  <si>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</si>
  <si>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</si>
  <si>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</si>
  <si>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</si>
  <si>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</si>
  <si>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</si>
  <si>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</si>
  <si>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</si>
  <si>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</si>
  <si>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</si>
  <si>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</si>
  <si>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</si>
  <si>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</si>
  <si>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</si>
  <si>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</si>
  <si>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</si>
  <si>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</si>
  <si>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</si>
  <si>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</si>
  <si>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</si>
  <si>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</si>
  <si>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</si>
  <si>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</si>
  <si>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</si>
  <si>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</si>
  <si>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</si>
  <si>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</si>
  <si>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</si>
  <si>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</si>
  <si>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</si>
  <si>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</si>
  <si>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</si>
  <si>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</si>
  <si>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</si>
  <si>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</si>
  <si>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</si>
  <si>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</si>
  <si>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</si>
  <si>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</si>
  <si>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</si>
  <si>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</si>
  <si>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</si>
  <si>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</si>
  <si>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</si>
  <si>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</si>
  <si>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</si>
  <si>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</si>
  <si>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</si>
  <si>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</si>
  <si>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</si>
  <si>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</si>
  <si>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</si>
  <si>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</si>
  <si>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</si>
  <si>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</si>
  <si>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</si>
  <si>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</si>
  <si>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</si>
  <si>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</si>
  <si>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</si>
  <si>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</si>
  <si>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</si>
  <si>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</si>
  <si>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</si>
  <si>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</si>
  <si>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</si>
  <si>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</si>
  <si>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</si>
  <si>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</si>
  <si>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</si>
  <si>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</si>
  <si>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</si>
  <si>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</si>
  <si>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</si>
  <si>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</si>
  <si>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</si>
  <si>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</si>
  <si>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</si>
  <si>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</si>
  <si>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</si>
  <si>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</si>
  <si>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</si>
  <si>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</si>
  <si>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</si>
  <si>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</si>
  <si>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</si>
  <si>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</si>
  <si>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</si>
  <si>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</si>
  <si>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</si>
  <si>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</si>
  <si>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</si>
  <si>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</si>
  <si>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</si>
  <si>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</si>
  <si>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</si>
  <si>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</si>
  <si>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</si>
  <si>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</si>
  <si>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</si>
  <si>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</si>
  <si>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</si>
  <si>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</si>
  <si>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</si>
  <si>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</si>
  <si>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</si>
  <si>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</si>
  <si>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</si>
  <si>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</si>
  <si>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</si>
  <si>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</si>
  <si>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</si>
  <si>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</si>
  <si>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</si>
  <si>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</si>
  <si>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</si>
  <si>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</si>
  <si>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</si>
  <si>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</si>
  <si>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</si>
  <si>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</si>
  <si>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</si>
  <si>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</si>
  <si>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</si>
  <si>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</si>
  <si>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</si>
  <si>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</si>
  <si>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</si>
  <si>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</si>
  <si>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</si>
  <si>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</si>
  <si>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</si>
  <si>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</si>
  <si>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</si>
  <si>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</si>
  <si>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</si>
  <si>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</si>
  <si>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</si>
  <si>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</si>
  <si>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</si>
  <si>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</si>
  <si>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</si>
  <si>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</si>
  <si>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</si>
  <si>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</si>
  <si>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</si>
  <si>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</si>
  <si>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</si>
  <si>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</si>
  <si>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</si>
  <si>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</si>
  <si>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</si>
  <si>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</si>
  <si>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</si>
  <si>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</si>
  <si>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</si>
  <si>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</si>
  <si>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</si>
  <si>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</si>
  <si>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</si>
  <si>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</si>
  <si>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</si>
  <si>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</si>
  <si>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</si>
  <si>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</si>
  <si>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</si>
  <si>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</si>
  <si>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</si>
  <si>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</si>
  <si>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</si>
  <si>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</si>
  <si>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</si>
  <si>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</si>
  <si>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</si>
  <si>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</si>
  <si>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</si>
  <si>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</si>
  <si>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</si>
  <si>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</si>
  <si>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</si>
  <si>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</si>
  <si>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</si>
  <si>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</si>
  <si>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</si>
  <si>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</si>
  <si>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</si>
  <si>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</si>
  <si>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</si>
  <si>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</si>
  <si>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</si>
  <si>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</si>
  <si>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</si>
  <si>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</si>
  <si>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</si>
  <si>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</si>
  <si>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</si>
  <si>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</si>
  <si>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</si>
  <si>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</si>
  <si>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</si>
  <si>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</si>
  <si>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</si>
  <si>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</si>
  <si>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</si>
  <si>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</si>
  <si>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</si>
  <si>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</si>
  <si>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</si>
  <si>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</si>
  <si>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</si>
  <si>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</si>
  <si>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</si>
  <si>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</si>
  <si>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</si>
  <si>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</si>
  <si>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</si>
  <si>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</si>
  <si>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</si>
  <si>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</si>
  <si>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</si>
  <si>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</si>
  <si>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</si>
  <si>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</si>
  <si>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</si>
  <si>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</si>
  <si>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</si>
  <si>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</si>
  <si>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</si>
  <si>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</si>
  <si>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</si>
  <si>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</si>
  <si>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</si>
  <si>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</si>
  <si>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</si>
  <si>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</si>
  <si>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</si>
  <si>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</si>
  <si>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</si>
  <si>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</si>
  <si>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</si>
  <si>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</si>
  <si>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</si>
  <si>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</si>
  <si>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</si>
  <si>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</si>
  <si>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</si>
  <si>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</si>
  <si>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</si>
  <si>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</si>
  <si>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</si>
  <si>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</si>
  <si>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</si>
  <si>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</si>
  <si>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</si>
  <si>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</si>
  <si>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</si>
  <si>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</si>
  <si>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</si>
  <si>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</si>
  <si>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</si>
  <si>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</si>
  <si>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</si>
  <si>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</si>
  <si>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</si>
  <si>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</si>
  <si>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</si>
  <si>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</si>
  <si>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</si>
  <si>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</si>
  <si>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</si>
  <si>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</si>
  <si>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</si>
  <si>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</si>
  <si>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</si>
  <si>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</si>
  <si>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</si>
  <si>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</si>
  <si>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</si>
  <si>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</si>
  <si>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</si>
  <si>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</si>
  <si>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</si>
  <si>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</si>
  <si>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</si>
  <si>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</si>
  <si>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</si>
  <si>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</si>
  <si>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</si>
  <si>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</si>
  <si>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</si>
  <si>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</si>
  <si>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</si>
  <si>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</si>
  <si>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</si>
  <si>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</si>
  <si>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</si>
  <si>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</si>
  <si>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</si>
  <si>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</si>
  <si>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</si>
  <si>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</si>
  <si>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</si>
  <si>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</si>
  <si>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</si>
  <si>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</si>
  <si>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</si>
  <si>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</si>
  <si>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</si>
  <si>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</si>
  <si>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</si>
  <si>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</si>
  <si>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</si>
  <si>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</si>
  <si>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</si>
  <si>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</si>
  <si>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</si>
  <si>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</si>
  <si>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</si>
  <si>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</si>
  <si>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</si>
  <si>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</si>
  <si>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</si>
  <si>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</si>
  <si>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</si>
  <si>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</si>
  <si>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</si>
  <si>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</si>
  <si>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</si>
  <si>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</si>
  <si>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</si>
  <si>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</si>
  <si>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</si>
  <si>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</si>
  <si>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</si>
  <si>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</si>
  <si>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</si>
  <si>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</si>
  <si>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</si>
  <si>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</si>
  <si>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</si>
  <si>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</si>
  <si>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</si>
  <si>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</si>
  <si>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</si>
  <si>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</si>
  <si>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</si>
  <si>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</si>
  <si>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</si>
  <si>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</si>
  <si>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</si>
  <si>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</si>
  <si>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</si>
  <si>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</si>
  <si>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</si>
  <si>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</si>
  <si>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</si>
  <si>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</si>
  <si>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</si>
  <si>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</si>
  <si>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</si>
  <si>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</si>
  <si>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</si>
  <si>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</si>
  <si>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</si>
  <si>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</si>
  <si>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</si>
  <si>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</si>
  <si>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</si>
  <si>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</si>
  <si>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</si>
  <si>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</si>
  <si>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</si>
  <si>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</si>
  <si>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</si>
  <si>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</si>
  <si>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</si>
  <si>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</si>
  <si>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</si>
  <si>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</si>
  <si>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</si>
  <si>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</si>
  <si>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</si>
  <si>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</si>
  <si>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</si>
  <si>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</si>
  <si>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</si>
  <si>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</si>
  <si>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</si>
  <si>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</si>
  <si>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</si>
  <si>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</si>
  <si>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</si>
  <si>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</si>
  <si>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</si>
  <si>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</si>
  <si>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</si>
  <si>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</si>
  <si>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</si>
  <si>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</si>
  <si>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</si>
  <si>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</si>
  <si>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</si>
  <si>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</si>
  <si>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</si>
  <si>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</si>
  <si>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</si>
  <si>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</si>
  <si>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</si>
  <si>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</si>
  <si>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</si>
  <si>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</si>
  <si>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</si>
  <si>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</si>
  <si>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</si>
  <si>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</si>
  <si>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</si>
  <si>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</si>
  <si>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</si>
  <si>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</si>
  <si>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</si>
  <si>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</si>
  <si>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</si>
  <si>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</si>
  <si>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</si>
  <si>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</si>
  <si>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</si>
  <si>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</si>
  <si>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</si>
  <si>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</si>
  <si>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</si>
  <si>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</si>
  <si>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</si>
  <si>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</si>
  <si>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</si>
  <si>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</si>
  <si>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</si>
  <si>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</si>
  <si>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</si>
  <si>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</si>
  <si>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</si>
  <si>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</si>
  <si>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</si>
  <si>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</si>
  <si>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</si>
  <si>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</si>
  <si>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</si>
  <si>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</si>
  <si>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</si>
  <si>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</si>
  <si>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</si>
  <si>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</si>
  <si>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</si>
  <si>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</si>
  <si>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</si>
  <si>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</si>
  <si>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</si>
  <si>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</si>
  <si>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</si>
  <si>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</si>
  <si>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</si>
  <si>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</si>
  <si>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</si>
  <si>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</si>
  <si>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</si>
  <si>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</si>
  <si>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</si>
  <si>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</si>
  <si>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</si>
  <si>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</si>
  <si>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</si>
  <si>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</si>
  <si>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</si>
  <si>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</si>
  <si>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</si>
  <si>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</si>
  <si>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</si>
  <si>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</si>
  <si>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</si>
  <si>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</si>
  <si>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</si>
  <si>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</si>
  <si>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</si>
  <si>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</si>
  <si>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</si>
  <si>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</si>
  <si>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</si>
  <si>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</si>
  <si>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</si>
  <si>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</si>
  <si>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</si>
  <si>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</si>
  <si>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</si>
  <si>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</si>
  <si>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</si>
  <si>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</si>
  <si>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</si>
  <si>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</si>
  <si>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</si>
  <si>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</si>
  <si>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</si>
  <si>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</si>
  <si>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</si>
  <si>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</si>
  <si>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</si>
  <si>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</si>
  <si>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</si>
  <si>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</si>
  <si>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</si>
  <si>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</si>
  <si>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</si>
  <si>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</si>
  <si>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</si>
  <si>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</si>
  <si>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</si>
  <si>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</si>
  <si>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</si>
  <si>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</si>
  <si>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</si>
  <si>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</si>
  <si>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</si>
  <si>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</si>
  <si>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</si>
  <si>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</si>
  <si>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</si>
  <si>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</si>
  <si>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</si>
  <si>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</si>
  <si>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</si>
  <si>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</si>
  <si>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</si>
  <si>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</si>
  <si>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</si>
  <si>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</si>
  <si>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</si>
  <si>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</si>
  <si>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</si>
  <si>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</si>
  <si>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</si>
  <si>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</si>
  <si>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</si>
  <si>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</si>
  <si>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</si>
  <si>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</si>
  <si>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</si>
  <si>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</si>
  <si>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</si>
  <si>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</si>
  <si>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</si>
  <si>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</si>
  <si>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</si>
  <si>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</si>
  <si>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</si>
  <si>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</si>
  <si>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</si>
  <si>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</si>
  <si>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</si>
  <si>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</si>
  <si>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</si>
  <si>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</si>
  <si>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</si>
  <si>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</si>
  <si>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</si>
  <si>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</si>
  <si>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</si>
  <si>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</si>
  <si>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</si>
  <si>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</si>
  <si>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</si>
  <si>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</si>
  <si>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</si>
  <si>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</si>
  <si>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</si>
  <si>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</si>
  <si>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</si>
  <si>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</si>
  <si>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</si>
  <si>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</si>
  <si>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</si>
  <si>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</si>
  <si>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</si>
  <si>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</si>
  <si>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</si>
  <si>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</si>
  <si>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</si>
  <si>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</si>
  <si>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</si>
  <si>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</si>
  <si>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</si>
  <si>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</si>
  <si>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</si>
  <si>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</si>
  <si>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</si>
  <si>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</si>
  <si>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</si>
  <si>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</si>
  <si>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</si>
  <si>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</si>
  <si>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</si>
  <si>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</si>
  <si>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</si>
  <si>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</si>
  <si>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</si>
  <si>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</si>
  <si>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</si>
  <si>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</si>
  <si>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</si>
  <si>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</si>
  <si>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</si>
  <si>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</si>
  <si>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</si>
  <si>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</si>
  <si>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</si>
  <si>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</si>
  <si>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</si>
  <si>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</si>
  <si>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</si>
  <si>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</si>
  <si>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</si>
  <si>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</si>
  <si>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</si>
  <si>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</si>
  <si>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</si>
  <si>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</si>
  <si>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</si>
  <si>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</si>
  <si>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</si>
  <si>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</si>
  <si>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</si>
  <si>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</si>
  <si>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</si>
  <si>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</si>
  <si>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</si>
  <si>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</si>
  <si>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</si>
  <si>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</si>
  <si>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</si>
  <si>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</si>
  <si>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</si>
  <si>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</si>
  <si>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</si>
  <si>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</si>
  <si>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</si>
  <si>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</si>
  <si>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</si>
  <si>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</si>
  <si>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</si>
  <si>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</si>
  <si>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</si>
  <si>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</si>
  <si>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</si>
  <si>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</si>
  <si>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</si>
  <si>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</si>
  <si>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</si>
  <si>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</si>
  <si>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</si>
  <si>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</si>
  <si>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</si>
  <si>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</si>
  <si>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</si>
  <si>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</si>
  <si>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</si>
  <si>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</si>
  <si>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</si>
  <si>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</si>
  <si>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</si>
  <si>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</si>
  <si>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</si>
  <si>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</si>
  <si>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</si>
  <si>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</si>
  <si>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</si>
  <si>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</si>
  <si>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</si>
  <si>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</si>
  <si>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</si>
  <si>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</si>
  <si>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</si>
  <si>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</si>
  <si>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</si>
  <si>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</si>
  <si>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</si>
  <si>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</si>
  <si>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</si>
  <si>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</si>
  <si>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</si>
  <si>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</si>
  <si>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</si>
  <si>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</si>
  <si>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</si>
  <si>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</si>
  <si>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</si>
  <si>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</si>
  <si>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</si>
  <si>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</si>
  <si>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</si>
  <si>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</si>
  <si>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</si>
  <si>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</si>
  <si>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</si>
  <si>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</si>
  <si>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</si>
  <si>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</si>
  <si>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</si>
  <si>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</si>
  <si>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</si>
  <si>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</si>
  <si>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</si>
  <si>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</si>
  <si>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</si>
  <si>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</si>
  <si>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</si>
  <si>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</si>
  <si>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</si>
  <si>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</si>
  <si>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</si>
  <si>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</si>
  <si>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</si>
  <si>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</si>
  <si>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</si>
  <si>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</si>
  <si>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</si>
  <si>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</si>
  <si>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</si>
  <si>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</si>
  <si>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</si>
  <si>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</si>
  <si>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</si>
  <si>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</si>
  <si>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</si>
  <si>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</si>
  <si>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</si>
  <si>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</si>
  <si>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</si>
  <si>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</si>
  <si>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</si>
  <si>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</si>
  <si>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</si>
  <si>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</si>
  <si>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</si>
  <si>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</si>
  <si>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</si>
  <si>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</si>
  <si>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</si>
  <si>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</si>
  <si>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</si>
  <si>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</si>
  <si>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</si>
  <si>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</si>
  <si>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</si>
  <si>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</si>
  <si>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</si>
  <si>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</si>
  <si>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</si>
  <si>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</si>
  <si>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</si>
  <si>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</si>
  <si>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</si>
  <si>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</si>
  <si>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</si>
  <si>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</si>
  <si>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</si>
  <si>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</si>
  <si>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</si>
  <si>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</si>
  <si>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</si>
  <si>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</si>
  <si>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</si>
  <si>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</si>
  <si>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</si>
  <si>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</si>
  <si>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</si>
  <si>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</si>
  <si>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</si>
  <si>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</si>
  <si>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</si>
  <si>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</si>
  <si>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</si>
  <si>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</si>
  <si>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</si>
  <si>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</si>
  <si>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</si>
  <si>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</si>
  <si>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</si>
  <si>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</si>
  <si>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</si>
  <si>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</si>
  <si>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</si>
  <si>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</si>
  <si>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</si>
  <si>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</si>
  <si>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</si>
  <si>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</si>
  <si>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</si>
  <si>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</si>
  <si>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</si>
  <si>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</si>
  <si>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</si>
  <si>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</si>
  <si>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</si>
  <si>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</si>
  <si>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</si>
  <si>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</si>
  <si>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</si>
  <si>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</si>
  <si>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</si>
  <si>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</si>
  <si>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</si>
  <si>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</si>
  <si>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</si>
  <si>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</si>
  <si>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</si>
  <si>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</si>
  <si>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</si>
  <si>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</si>
  <si>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</si>
  <si>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</si>
  <si>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</si>
  <si>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</si>
  <si>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</si>
  <si>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</si>
  <si>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</si>
  <si>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</si>
  <si>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</si>
  <si>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</si>
  <si>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</si>
  <si>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</si>
  <si>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</si>
  <si>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</si>
  <si>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</si>
  <si>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</si>
  <si>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</si>
  <si>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</si>
  <si>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</si>
  <si>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</si>
  <si>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</si>
  <si>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</si>
  <si>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</si>
  <si>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</si>
  <si>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</si>
  <si>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</si>
  <si>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</si>
  <si>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</si>
  <si>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</si>
  <si>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</si>
  <si>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</si>
  <si>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</si>
  <si>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</si>
  <si>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</si>
  <si>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</si>
  <si>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</si>
  <si>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</si>
  <si>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</si>
  <si>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</si>
  <si>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</si>
  <si>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</si>
  <si>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</si>
  <si>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</si>
  <si>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</si>
  <si>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</si>
  <si>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</si>
  <si>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</si>
  <si>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</si>
  <si>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</si>
  <si>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</si>
  <si>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</si>
  <si>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</si>
  <si>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</si>
  <si>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</si>
  <si>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</si>
  <si>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</si>
  <si>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</si>
  <si>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</si>
  <si>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</si>
  <si>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</si>
  <si>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</si>
  <si>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</si>
  <si>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</si>
  <si>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</si>
  <si>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</si>
  <si>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</si>
  <si>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</si>
  <si>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</si>
  <si>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</si>
  <si>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</si>
  <si>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</si>
  <si>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</si>
  <si>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</si>
  <si>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</si>
  <si>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</si>
  <si>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</si>
  <si>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</si>
  <si>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</si>
  <si>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</si>
  <si>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</si>
  <si>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</si>
  <si>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</si>
  <si>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</si>
  <si>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</si>
  <si>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</si>
  <si>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</si>
  <si>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</si>
  <si>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</si>
  <si>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</si>
  <si>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</si>
  <si>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</si>
  <si>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</si>
  <si>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</si>
  <si>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</si>
  <si>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</si>
  <si>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</si>
  <si>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</si>
  <si>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</si>
  <si>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</si>
  <si>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</si>
  <si>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</si>
  <si>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</si>
  <si>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</si>
  <si>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</si>
  <si>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</si>
  <si>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</si>
  <si>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</si>
  <si>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</si>
  <si>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</si>
  <si>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</si>
  <si>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</si>
  <si>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</si>
  <si>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</si>
  <si>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</si>
  <si>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</si>
  <si>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</si>
  <si>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</si>
  <si>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</si>
  <si>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</si>
  <si>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</si>
  <si>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</si>
  <si>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</si>
  <si>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</si>
  <si>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</si>
  <si>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</si>
  <si>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</si>
  <si>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</si>
  <si>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</si>
  <si>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</si>
  <si>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</si>
  <si>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</si>
  <si>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</si>
  <si>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</si>
  <si>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</si>
  <si>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</si>
  <si>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</si>
  <si>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</si>
  <si>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</si>
  <si>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</si>
  <si>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</si>
  <si>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</si>
  <si>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</si>
  <si>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</si>
  <si>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</si>
  <si>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</si>
  <si>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</si>
  <si>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</si>
  <si>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</si>
  <si>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</si>
  <si>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</si>
  <si>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</si>
  <si>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</si>
  <si>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</si>
  <si>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</si>
  <si>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</si>
  <si>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</si>
  <si>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</si>
  <si>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</si>
  <si>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</si>
  <si>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</si>
  <si>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</si>
  <si>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</si>
  <si>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</si>
  <si>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</si>
  <si>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</si>
  <si>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</si>
  <si>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</si>
  <si>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</si>
  <si>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</si>
  <si>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</si>
  <si>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</si>
  <si>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</si>
  <si>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</si>
  <si>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</si>
  <si>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</si>
  <si>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</si>
  <si>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</si>
  <si>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</si>
  <si>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</si>
  <si>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</si>
  <si>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</si>
  <si>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</si>
  <si>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</si>
  <si>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</si>
  <si>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</si>
  <si>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</si>
  <si>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</si>
  <si>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</si>
  <si>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</si>
  <si>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</si>
  <si>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</si>
  <si>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</si>
  <si>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</si>
  <si>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</si>
  <si>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</si>
  <si>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</si>
  <si>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</si>
  <si>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</si>
  <si>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</si>
  <si>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</si>
  <si>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</si>
  <si>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</si>
  <si>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</si>
  <si>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</si>
  <si>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</si>
  <si>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</si>
  <si>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</si>
  <si>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</si>
  <si>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</si>
  <si>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</si>
  <si>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</si>
  <si>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</si>
  <si>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</si>
  <si>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</si>
  <si>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</si>
  <si>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</si>
  <si>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</si>
  <si>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</si>
  <si>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</si>
  <si>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</si>
  <si>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</si>
  <si>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</si>
  <si>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</si>
  <si>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</si>
  <si>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</si>
  <si>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</si>
  <si>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</si>
  <si>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</si>
  <si>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</si>
  <si>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</si>
  <si>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</si>
  <si>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</si>
  <si>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</si>
  <si>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</si>
  <si>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</si>
  <si>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</si>
  <si>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</si>
  <si>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</si>
  <si>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</si>
  <si>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</si>
  <si>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</si>
  <si>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</si>
  <si>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</si>
  <si>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</si>
  <si>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</si>
  <si>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</si>
  <si>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</si>
  <si>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</si>
  <si>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</si>
  <si>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</si>
  <si>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</si>
  <si>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</si>
  <si>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</si>
  <si>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</si>
  <si>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</si>
  <si>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</si>
  <si>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</si>
  <si>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</si>
  <si>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</si>
  <si>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</si>
  <si>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</si>
  <si>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</si>
  <si>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</si>
  <si>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</si>
  <si>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</si>
  <si>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</si>
  <si>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</si>
  <si>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</si>
  <si>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</si>
  <si>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</si>
  <si>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</si>
  <si>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</si>
  <si>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</si>
  <si>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</si>
  <si>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</si>
  <si>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</si>
  <si>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</si>
  <si>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</si>
  <si>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</si>
  <si>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</si>
  <si>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</si>
  <si>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</si>
  <si>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</si>
  <si>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</si>
  <si>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</si>
  <si>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</si>
  <si>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</si>
  <si>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</si>
  <si>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</si>
  <si>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</si>
  <si>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</si>
  <si>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</si>
  <si>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</si>
  <si>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</si>
  <si>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</si>
  <si>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</si>
  <si>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</si>
  <si>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</si>
  <si>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</si>
  <si>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</si>
  <si>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</si>
  <si>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</si>
  <si>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</si>
  <si>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</si>
  <si>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</si>
  <si>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</si>
  <si>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</si>
  <si>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</si>
  <si>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</si>
  <si>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</si>
  <si>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</si>
  <si>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</si>
  <si>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</si>
  <si>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</si>
  <si>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</si>
  <si>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</si>
  <si>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</si>
  <si>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</si>
  <si>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</si>
  <si>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</si>
  <si>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</si>
  <si>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</si>
  <si>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</si>
  <si>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</si>
  <si>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</si>
  <si>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</si>
  <si>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</si>
  <si>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</si>
  <si>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</si>
  <si>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</si>
  <si>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</si>
  <si>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</si>
  <si>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</si>
  <si>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</si>
  <si>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</si>
  <si>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</si>
  <si>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</si>
  <si>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</si>
  <si>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</si>
  <si>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</si>
  <si>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</si>
  <si>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</si>
  <si>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</si>
  <si>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</si>
  <si>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</si>
  <si>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</si>
  <si>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</si>
  <si>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</si>
  <si>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</si>
  <si>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</si>
  <si>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</si>
  <si>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</si>
  <si>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</si>
  <si>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</si>
  <si>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</si>
  <si>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</si>
  <si>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</si>
  <si>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</si>
  <si>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</si>
  <si>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</si>
  <si>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</si>
  <si>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</si>
  <si>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</si>
  <si>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</si>
  <si>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</si>
  <si>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</si>
  <si>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</si>
  <si>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</si>
  <si>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</si>
  <si>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</si>
  <si>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</si>
  <si>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</si>
  <si>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</si>
  <si>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</si>
  <si>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</si>
  <si>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</si>
  <si>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</si>
  <si>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</si>
  <si>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</si>
  <si>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</si>
  <si>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</si>
  <si>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</si>
  <si>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</si>
  <si>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</si>
  <si>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</si>
  <si>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</si>
  <si>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</si>
  <si>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</si>
  <si>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</si>
  <si>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</si>
  <si>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</si>
  <si>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</si>
  <si>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</si>
  <si>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</si>
  <si>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</si>
  <si>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</si>
  <si>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</si>
  <si>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</si>
  <si>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</si>
  <si>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</si>
  <si>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</si>
  <si>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</si>
  <si>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</si>
  <si>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</si>
  <si>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</si>
  <si>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</si>
  <si>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</si>
  <si>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</si>
  <si>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</si>
  <si>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</si>
  <si>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</si>
  <si>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</si>
  <si>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</si>
  <si>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</si>
  <si>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</si>
  <si>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</si>
  <si>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</si>
  <si>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</si>
  <si>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</si>
  <si>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</si>
  <si>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</si>
  <si>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</si>
  <si>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</si>
  <si>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</si>
  <si>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</si>
  <si>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</si>
  <si>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</si>
  <si>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</si>
  <si>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</si>
  <si>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</si>
  <si>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</si>
  <si>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</si>
  <si>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</si>
  <si>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</si>
  <si>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</si>
  <si>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</si>
  <si>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</si>
  <si>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</si>
  <si>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</si>
  <si>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</si>
  <si>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</si>
  <si>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</si>
  <si>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</si>
  <si>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</si>
  <si>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</si>
  <si>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</si>
  <si>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</si>
  <si>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</si>
  <si>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</si>
  <si>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</si>
  <si>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</si>
  <si>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</si>
  <si>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</si>
  <si>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</si>
  <si>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</si>
  <si>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</si>
  <si>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</si>
  <si>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</si>
  <si>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</si>
  <si>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</si>
  <si>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</si>
  <si>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</si>
  <si>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</si>
  <si>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</si>
  <si>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</si>
  <si>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</si>
  <si>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</si>
  <si>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</si>
  <si>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</si>
  <si>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</si>
  <si>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</si>
  <si>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</si>
  <si>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</si>
  <si>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</si>
  <si>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</si>
  <si>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</si>
  <si>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</si>
  <si>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</si>
  <si>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</si>
  <si>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</si>
  <si>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</si>
  <si>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</si>
  <si>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</si>
  <si>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</si>
  <si>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</si>
  <si>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</si>
  <si>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</si>
  <si>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</si>
  <si>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</si>
  <si>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</si>
  <si>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</si>
  <si>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</si>
  <si>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</si>
  <si>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</si>
  <si>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</si>
  <si>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</si>
  <si>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</si>
  <si>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</si>
  <si>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</si>
  <si>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</si>
  <si>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</si>
  <si>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</si>
  <si>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</si>
  <si>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</si>
  <si>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</si>
  <si>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</si>
  <si>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</si>
  <si>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</si>
  <si>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</si>
  <si>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</si>
  <si>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</si>
  <si>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</si>
  <si>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</si>
  <si>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</si>
  <si>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</si>
  <si>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</si>
  <si>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</si>
  <si>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</si>
  <si>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</si>
  <si>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</si>
  <si>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</si>
  <si>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</si>
  <si>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</si>
  <si>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</si>
  <si>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</si>
  <si>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</si>
  <si>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</si>
  <si>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</si>
  <si>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</si>
  <si>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</si>
  <si>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</si>
  <si>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</si>
  <si>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</si>
  <si>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</si>
  <si>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</si>
  <si>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</si>
  <si>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</si>
  <si>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</si>
  <si>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</si>
  <si>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</si>
  <si>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</si>
  <si>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</si>
  <si>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</si>
  <si>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</si>
  <si>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</si>
  <si>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</si>
  <si>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</si>
  <si>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</si>
  <si>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</si>
  <si>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</si>
  <si>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</si>
  <si>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</si>
  <si>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</si>
  <si>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</si>
  <si>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</si>
  <si>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</si>
  <si>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</si>
  <si>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</si>
  <si>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</si>
  <si>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</si>
  <si>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</si>
  <si>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</si>
  <si>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</si>
  <si>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</si>
  <si>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</si>
  <si>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</si>
  <si>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</si>
  <si>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</si>
  <si>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</si>
  <si>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</si>
  <si>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</si>
  <si>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</si>
  <si>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</si>
  <si>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</si>
  <si>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</si>
  <si>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</si>
  <si>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</si>
  <si>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</si>
  <si>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</si>
  <si>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</si>
  <si>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</si>
  <si>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</si>
  <si>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</si>
  <si>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</si>
  <si>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</si>
  <si>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</si>
  <si>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</si>
  <si>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</si>
  <si>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</si>
  <si>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</si>
  <si>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</si>
  <si>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</si>
  <si>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</si>
  <si>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</si>
  <si>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</si>
  <si>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</si>
  <si>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</si>
  <si>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</si>
  <si>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</si>
  <si>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</si>
  <si>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</si>
  <si>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</si>
  <si>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</si>
  <si>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</si>
  <si>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</si>
  <si>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</si>
  <si>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</si>
  <si>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</si>
  <si>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</si>
  <si>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</si>
  <si>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</si>
  <si>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</si>
  <si>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</si>
  <si>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</si>
  <si>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</si>
  <si>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</si>
  <si>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</si>
  <si>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</si>
  <si>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</si>
  <si>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</si>
  <si>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</si>
  <si>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</si>
  <si>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</si>
  <si>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</si>
  <si>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</si>
  <si>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</si>
  <si>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</si>
  <si>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</si>
  <si>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</si>
  <si>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</si>
  <si>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</si>
  <si>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</si>
  <si>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</si>
  <si>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</si>
  <si>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</si>
  <si>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</si>
  <si>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</si>
  <si>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</si>
  <si>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</si>
  <si>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</si>
  <si>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</si>
  <si>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</si>
  <si>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</si>
  <si>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</si>
  <si>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</si>
  <si>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</si>
  <si>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</si>
  <si>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</si>
  <si>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</si>
  <si>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</si>
  <si>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</si>
  <si>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</si>
  <si>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</si>
  <si>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</si>
  <si>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</si>
  <si>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</si>
  <si>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</si>
  <si>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</si>
  <si>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</si>
  <si>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</si>
  <si>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</si>
  <si>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</si>
  <si>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</si>
  <si>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</si>
  <si>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</si>
  <si>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</si>
  <si>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</si>
  <si>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</si>
  <si>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</si>
  <si>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</si>
  <si>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</si>
  <si>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</si>
  <si>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</si>
  <si>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</si>
  <si>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</si>
  <si>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</si>
  <si>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</si>
  <si>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</si>
  <si>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</si>
  <si>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</si>
  <si>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</si>
  <si>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</si>
  <si>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</si>
  <si>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</si>
  <si>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</si>
  <si>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</si>
  <si>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</si>
  <si>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</si>
  <si>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</si>
  <si>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</si>
  <si>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</si>
  <si>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</si>
  <si>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</si>
  <si>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</si>
  <si>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</si>
  <si>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</si>
  <si>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</si>
  <si>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</si>
  <si>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</si>
  <si>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</si>
  <si>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</si>
  <si>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</si>
  <si>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</si>
  <si>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</si>
  <si>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</si>
  <si>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</si>
  <si>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</si>
  <si>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</si>
  <si>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</si>
  <si>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</si>
  <si>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</si>
  <si>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</si>
  <si>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</si>
  <si>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</si>
  <si>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</si>
  <si>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</si>
  <si>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</si>
  <si>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</si>
  <si>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</si>
  <si>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</si>
  <si>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</si>
  <si>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</si>
  <si>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</si>
  <si>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</si>
  <si>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</si>
  <si>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</si>
  <si>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</si>
  <si>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</si>
  <si>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</si>
  <si>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</si>
  <si>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</si>
  <si>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</si>
  <si>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</si>
  <si>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</si>
  <si>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</si>
  <si>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</si>
  <si>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</si>
  <si>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</si>
  <si>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</si>
  <si>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</si>
  <si>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</si>
  <si>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</si>
  <si>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</si>
  <si>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</si>
  <si>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</si>
  <si>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</si>
  <si>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</si>
  <si>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</si>
  <si>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</si>
  <si>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</si>
  <si>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</si>
  <si>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</si>
  <si>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</si>
  <si>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</si>
  <si>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</si>
  <si>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</si>
  <si>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</si>
  <si>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</si>
  <si>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</si>
  <si>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</si>
  <si>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</si>
  <si>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</si>
  <si>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</si>
  <si>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</si>
  <si>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</si>
  <si>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</si>
  <si>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</si>
  <si>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</si>
  <si>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</si>
  <si>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</si>
  <si>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</si>
  <si>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</si>
  <si>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</si>
  <si>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</si>
  <si>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</si>
  <si>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</si>
  <si>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</si>
  <si>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</si>
  <si>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</si>
  <si>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</si>
  <si>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</si>
  <si>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</si>
  <si>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</si>
  <si>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</si>
  <si>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</si>
  <si>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</si>
  <si>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</si>
  <si>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</si>
  <si>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</si>
  <si>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</si>
  <si>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</si>
  <si>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</si>
  <si>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</si>
  <si>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</si>
  <si>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</si>
  <si>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</si>
  <si>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</si>
  <si>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</si>
  <si>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</si>
  <si>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</si>
  <si>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</si>
  <si>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</si>
  <si>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</si>
  <si>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</si>
  <si>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</si>
  <si>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</si>
  <si>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</si>
  <si>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</si>
  <si>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</si>
  <si>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</si>
  <si>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</si>
  <si>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</si>
  <si>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</si>
  <si>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</si>
  <si>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</si>
  <si>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</si>
  <si>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</si>
  <si>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</si>
  <si>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</si>
  <si>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</si>
  <si>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</si>
  <si>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</si>
  <si>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</si>
  <si>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</si>
  <si>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</si>
  <si>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</si>
  <si>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</si>
  <si>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</si>
  <si>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</si>
  <si>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</si>
  <si>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</si>
  <si>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</si>
  <si>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</si>
  <si>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</si>
  <si>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</si>
  <si>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</si>
  <si>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</si>
  <si>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</si>
  <si>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</si>
  <si>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</si>
  <si>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</si>
  <si>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</si>
  <si>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</si>
  <si>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</si>
  <si>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</si>
  <si>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</si>
  <si>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</si>
  <si>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</si>
  <si>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</si>
  <si>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</si>
  <si>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</si>
  <si>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</si>
  <si>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</si>
  <si>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</si>
  <si>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</si>
  <si>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</si>
  <si>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</si>
  <si>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</si>
  <si>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</si>
  <si>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</si>
  <si>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</si>
  <si>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</si>
  <si>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</si>
  <si>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</si>
  <si>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</si>
  <si>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</si>
  <si>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</si>
  <si>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</si>
  <si>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</si>
  <si>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</si>
  <si>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</si>
  <si>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</si>
  <si>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</si>
  <si>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</si>
  <si>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</si>
  <si>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</si>
  <si>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</si>
  <si>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</si>
  <si>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</si>
  <si>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</si>
  <si>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</si>
  <si>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</si>
  <si>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</si>
  <si>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</si>
  <si>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</si>
  <si>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</si>
  <si>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</si>
  <si>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</si>
  <si>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</si>
  <si>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</si>
  <si>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</si>
  <si>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</si>
  <si>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</si>
  <si>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</si>
  <si>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</si>
  <si>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</si>
  <si>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</si>
  <si>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</si>
  <si>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</si>
  <si>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</si>
  <si>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</si>
  <si>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</si>
  <si>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</si>
  <si>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</si>
  <si>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</si>
  <si>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</si>
  <si>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</si>
  <si>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</si>
  <si>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</si>
  <si>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</si>
  <si>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</si>
  <si>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</si>
  <si>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</si>
  <si>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</si>
  <si>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</si>
  <si>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</si>
  <si>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</si>
  <si>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</si>
  <si>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</si>
  <si>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</si>
  <si>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</si>
  <si>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</si>
  <si>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</si>
  <si>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</si>
  <si>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</si>
  <si>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</si>
  <si>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</si>
  <si>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</si>
  <si>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</si>
  <si>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</si>
  <si>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</si>
  <si>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</si>
  <si>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</si>
  <si>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</si>
  <si>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</si>
  <si>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</si>
  <si>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</si>
  <si>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</si>
  <si>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</si>
  <si>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</si>
  <si>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</si>
  <si>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</si>
  <si>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</si>
  <si>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</si>
  <si>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</si>
  <si>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</si>
  <si>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</si>
  <si>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</si>
  <si>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</si>
  <si>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</si>
  <si>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</si>
  <si>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</si>
  <si>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</si>
  <si>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</si>
  <si>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</si>
  <si>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</si>
  <si>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</si>
  <si>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</si>
  <si>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</si>
  <si>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</si>
  <si>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</si>
  <si>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</si>
  <si>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</si>
  <si>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</si>
  <si>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</si>
  <si>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</si>
  <si>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</si>
  <si>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</si>
  <si>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</si>
  <si>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</si>
  <si>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</si>
  <si>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</si>
  <si>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</si>
  <si>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</si>
  <si>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</si>
  <si>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</si>
  <si>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</si>
  <si>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</si>
  <si>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</si>
  <si>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</si>
  <si>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</si>
  <si>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</si>
  <si>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</si>
  <si>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</si>
  <si>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</si>
  <si>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</si>
  <si>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</si>
  <si>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</si>
  <si>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</si>
  <si>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</si>
  <si>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</si>
  <si>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</si>
  <si>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</si>
  <si>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</si>
  <si>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</si>
  <si>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</si>
  <si>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</si>
  <si>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</si>
  <si>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</si>
  <si>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</si>
  <si>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</si>
  <si>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</si>
  <si>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</si>
  <si>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</si>
  <si>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</si>
  <si>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</si>
  <si>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</si>
  <si>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</si>
  <si>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</si>
  <si>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</si>
  <si>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</si>
  <si>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</si>
  <si>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</si>
  <si>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</si>
  <si>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</si>
  <si>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</si>
  <si>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</si>
  <si>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</si>
  <si>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</si>
  <si>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</si>
  <si>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</si>
  <si>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</si>
  <si>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</si>
  <si>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</si>
  <si>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</si>
  <si>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</si>
  <si>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</si>
  <si>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</si>
  <si>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</si>
  <si>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</si>
  <si>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</si>
  <si>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</si>
  <si>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</si>
  <si>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</si>
  <si>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</si>
  <si>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</si>
  <si>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</si>
  <si>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</si>
  <si>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</si>
  <si>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</si>
  <si>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</si>
  <si>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</si>
  <si>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</si>
  <si>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</si>
  <si>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</si>
  <si>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</si>
  <si>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</si>
  <si>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</si>
  <si>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</si>
  <si>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</si>
  <si>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</si>
  <si>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</si>
  <si>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</si>
  <si>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</si>
  <si>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</si>
  <si>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</si>
  <si>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</si>
  <si>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</si>
  <si>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</si>
  <si>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</si>
  <si>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</si>
  <si>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</si>
  <si>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</si>
  <si>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</si>
  <si>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</si>
  <si>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</si>
  <si>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</si>
  <si>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</si>
  <si>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</si>
  <si>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</si>
  <si>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</si>
  <si>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</si>
  <si>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</si>
  <si>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</si>
  <si>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</si>
  <si>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</si>
  <si>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</si>
  <si>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</si>
  <si>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</si>
  <si>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</si>
  <si>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</si>
  <si>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</si>
  <si>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</si>
  <si>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</si>
  <si>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</si>
  <si>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</si>
  <si>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</si>
  <si>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</si>
  <si>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</si>
  <si>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</si>
  <si>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</si>
  <si>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</si>
  <si>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</si>
  <si>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</si>
  <si>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</si>
  <si>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</si>
  <si>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</si>
  <si>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</si>
  <si>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</si>
  <si>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</si>
  <si>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</si>
  <si>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</si>
  <si>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</si>
  <si>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</si>
  <si>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</si>
  <si>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</si>
  <si>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</si>
  <si>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</si>
  <si>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</si>
  <si>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</si>
  <si>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</si>
  <si>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</si>
  <si>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</si>
  <si>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</si>
  <si>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</si>
  <si>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</si>
  <si>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</si>
  <si>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</si>
  <si>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</si>
  <si>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</si>
  <si>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</si>
  <si>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</si>
  <si>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</si>
  <si>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</si>
  <si>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</si>
  <si>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</si>
  <si>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</si>
  <si>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</si>
  <si>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</si>
  <si>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</si>
  <si>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</si>
  <si>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</si>
  <si>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</si>
  <si>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</si>
  <si>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</si>
  <si>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</si>
  <si>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</si>
  <si>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</si>
  <si>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</si>
  <si>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</si>
  <si>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</si>
  <si>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</si>
  <si>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</si>
  <si>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</si>
  <si>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</si>
  <si>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</si>
  <si>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</si>
  <si>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</si>
  <si>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</si>
  <si>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</si>
  <si>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</si>
  <si>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</si>
  <si>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</si>
  <si>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</si>
  <si>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</si>
  <si>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</si>
  <si>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</si>
  <si>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</si>
  <si>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</si>
  <si>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</si>
  <si>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</si>
  <si>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</si>
  <si>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</si>
  <si>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</si>
  <si>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</si>
  <si>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</si>
  <si>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</si>
  <si>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</si>
  <si>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</si>
  <si>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</si>
  <si>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</si>
  <si>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</si>
  <si>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</si>
  <si>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</si>
  <si>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</si>
  <si>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</si>
  <si>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</si>
  <si>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</si>
  <si>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</si>
  <si>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</si>
  <si>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</si>
  <si>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</si>
  <si>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</si>
  <si>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</si>
  <si>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</si>
  <si>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</si>
  <si>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</si>
  <si>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</si>
  <si>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</si>
  <si>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</si>
  <si>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</si>
  <si>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</si>
  <si>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</si>
  <si>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</si>
  <si>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</si>
  <si>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</si>
  <si>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</si>
  <si>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</si>
  <si>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</si>
  <si>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</si>
  <si>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</si>
  <si>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</si>
  <si>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</si>
  <si>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</si>
  <si>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</si>
  <si>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</si>
  <si>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</si>
  <si>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</si>
  <si>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</si>
  <si>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</si>
  <si>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</si>
  <si>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</si>
  <si>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</si>
  <si>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</si>
  <si>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</si>
  <si>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</si>
  <si>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</si>
  <si>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</si>
  <si>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</si>
  <si>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</si>
  <si>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</si>
  <si>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</si>
  <si>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</si>
  <si>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</si>
  <si>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</si>
  <si>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</si>
  <si>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</si>
  <si>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</si>
  <si>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</si>
  <si>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</si>
  <si>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</si>
  <si>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</si>
  <si>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</si>
  <si>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</si>
  <si>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</si>
  <si>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</si>
  <si>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</si>
  <si>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</si>
  <si>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</si>
  <si>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</si>
  <si>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</si>
  <si>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</si>
  <si>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</si>
  <si>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</si>
  <si>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</si>
  <si>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</si>
  <si>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</si>
  <si>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</si>
  <si>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</si>
  <si>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</si>
  <si>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</si>
  <si>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</si>
  <si>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</si>
  <si>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</si>
  <si>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</si>
  <si>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</si>
  <si>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</si>
  <si>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</si>
  <si>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</si>
  <si>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</si>
  <si>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</si>
  <si>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</si>
  <si>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</si>
  <si>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</si>
  <si>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</si>
  <si>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</si>
  <si>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</si>
  <si>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</si>
  <si>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</si>
  <si>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</si>
  <si>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</si>
  <si>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</si>
  <si>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</si>
  <si>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</si>
  <si>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</si>
  <si>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</si>
  <si>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</si>
  <si>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</si>
  <si>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</si>
  <si>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</si>
  <si>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</si>
  <si>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</si>
  <si>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</si>
  <si>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</si>
  <si>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</si>
  <si>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</si>
  <si>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</si>
  <si>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</si>
  <si>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</si>
  <si>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</si>
  <si>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</si>
  <si>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</si>
  <si>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</si>
  <si>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</si>
  <si>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</si>
  <si>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</si>
  <si>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</si>
  <si>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</si>
  <si>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</si>
  <si>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</si>
  <si>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</si>
  <si>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</si>
  <si>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</si>
  <si>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</si>
  <si>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</si>
  <si>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</si>
  <si>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</si>
  <si>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</si>
  <si>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</si>
  <si>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</si>
  <si>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</si>
  <si>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</si>
  <si>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</si>
  <si>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</si>
  <si>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</si>
  <si>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</si>
  <si>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</si>
  <si>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</si>
  <si>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</si>
  <si>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</si>
  <si>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</si>
  <si>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</si>
  <si>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</si>
  <si>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</si>
  <si>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</si>
  <si>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</si>
  <si>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</si>
  <si>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</si>
  <si>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</si>
  <si>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</si>
  <si>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</si>
  <si>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</si>
  <si>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</si>
  <si>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</si>
  <si>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</si>
  <si>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</si>
  <si>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</si>
  <si>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</si>
  <si>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</si>
  <si>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</si>
  <si>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</si>
  <si>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</si>
  <si>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</si>
  <si>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</si>
  <si>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</si>
  <si>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</si>
  <si>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</si>
  <si>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</si>
  <si>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</si>
  <si>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</si>
  <si>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</si>
  <si>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</si>
  <si>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</si>
  <si>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</si>
  <si>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</si>
  <si>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</si>
  <si>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</si>
  <si>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</si>
  <si>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</si>
  <si>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</si>
  <si>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</si>
  <si>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</si>
  <si>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</si>
  <si>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</si>
  <si>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</si>
  <si>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</si>
  <si>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</si>
  <si>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</si>
  <si>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</si>
  <si>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</si>
  <si>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</si>
  <si>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</si>
  <si>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</si>
  <si>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</si>
  <si>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</si>
  <si>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</si>
  <si>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</si>
  <si>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</si>
  <si>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</si>
  <si>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</si>
  <si>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</si>
  <si>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</si>
  <si>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</si>
  <si>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</si>
  <si>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</si>
  <si>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</si>
  <si>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</si>
  <si>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</si>
  <si>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</si>
  <si>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</si>
  <si>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</si>
  <si>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</si>
  <si>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</si>
  <si>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</si>
  <si>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</si>
  <si>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</si>
  <si>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</si>
  <si>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</si>
  <si>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</si>
  <si>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</si>
  <si>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</si>
  <si>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</si>
  <si>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</si>
  <si>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</si>
  <si>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</si>
  <si>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</si>
  <si>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</si>
  <si>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</si>
  <si>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</si>
  <si>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</si>
  <si>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</si>
  <si>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</si>
  <si>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</si>
  <si>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</si>
  <si>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</si>
  <si>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</si>
  <si>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</si>
  <si>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</si>
  <si>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</si>
  <si>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</si>
  <si>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</si>
  <si>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</si>
  <si>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</si>
  <si>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</si>
  <si>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</si>
  <si>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</si>
  <si>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</si>
  <si>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</si>
  <si>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</si>
  <si>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</si>
  <si>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</si>
  <si>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</si>
  <si>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</si>
  <si>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</si>
  <si>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</si>
  <si>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</si>
  <si>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</si>
  <si>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</si>
  <si>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</si>
  <si>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</si>
  <si>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</si>
  <si>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</si>
  <si>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</si>
  <si>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</si>
  <si>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</si>
  <si>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</si>
  <si>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</si>
  <si>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</si>
  <si>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</si>
  <si>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</si>
  <si>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</si>
  <si>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</si>
  <si>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</si>
  <si>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</si>
  <si>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</si>
  <si>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</si>
  <si>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</si>
  <si>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</si>
  <si>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</si>
  <si>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</si>
  <si>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</si>
  <si>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</si>
  <si>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</si>
  <si>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</si>
  <si>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</si>
  <si>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</si>
  <si>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</si>
  <si>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</si>
  <si>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</si>
  <si>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</si>
  <si>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</si>
  <si>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</si>
  <si>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</si>
  <si>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</si>
  <si>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</si>
  <si>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</si>
  <si>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</si>
  <si>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</si>
  <si>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</si>
  <si>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</si>
  <si>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</si>
  <si>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</si>
  <si>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</si>
  <si>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</si>
  <si>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</si>
  <si>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</si>
  <si>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</si>
  <si>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</si>
  <si>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</si>
  <si>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</si>
  <si>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</si>
  <si>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</si>
  <si>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</si>
  <si>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</si>
  <si>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</si>
  <si>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</si>
  <si>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</si>
  <si>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</si>
  <si>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</si>
  <si>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</si>
  <si>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</si>
  <si>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</si>
  <si>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</si>
  <si>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</si>
  <si>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</si>
  <si>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</si>
  <si>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</si>
  <si>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</si>
  <si>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</si>
  <si>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</si>
  <si>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</si>
  <si>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</si>
  <si>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</si>
  <si>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</si>
  <si>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</si>
  <si>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</si>
  <si>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</si>
  <si>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</si>
  <si>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</si>
  <si>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</si>
  <si>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</si>
  <si>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</si>
  <si>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</si>
  <si>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</si>
  <si>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</si>
  <si>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</si>
  <si>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</si>
  <si>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</si>
  <si>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</si>
  <si>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</si>
  <si>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</si>
  <si>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</si>
  <si>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</si>
  <si>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</si>
  <si>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</si>
  <si>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</si>
  <si>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</si>
  <si>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</si>
  <si>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</si>
  <si>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</si>
  <si>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</si>
  <si>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</si>
  <si>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</si>
  <si>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</si>
  <si>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</si>
  <si>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</si>
  <si>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</si>
  <si>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</si>
  <si>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</si>
  <si>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</si>
  <si>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</si>
  <si>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</si>
  <si>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</si>
  <si>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</si>
  <si>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</si>
  <si>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</si>
  <si>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</si>
  <si>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</si>
  <si>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</si>
  <si>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</si>
  <si>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</si>
  <si>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</si>
  <si>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</si>
  <si>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</si>
  <si>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</si>
  <si>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</si>
  <si>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</si>
  <si>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</si>
  <si>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</si>
  <si>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</si>
  <si>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</si>
  <si>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</si>
  <si>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</si>
  <si>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</si>
  <si>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</si>
  <si>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</si>
  <si>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</si>
  <si>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</si>
  <si>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</si>
  <si>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</si>
  <si>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</si>
  <si>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</si>
  <si>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</si>
  <si>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</si>
  <si>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</si>
  <si>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</si>
  <si>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</si>
  <si>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</si>
  <si>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</si>
  <si>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</si>
  <si>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</si>
  <si>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</si>
  <si>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</si>
  <si>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</si>
  <si>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</si>
  <si>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</si>
  <si>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</si>
  <si>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</si>
  <si>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</si>
  <si>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</si>
  <si>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</si>
  <si>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</si>
  <si>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</si>
  <si>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</si>
  <si>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</si>
  <si>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</si>
  <si>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</si>
  <si>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</si>
  <si>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</si>
  <si>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</si>
  <si>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</si>
  <si>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</si>
  <si>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</si>
  <si>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</si>
  <si>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</si>
  <si>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</si>
  <si>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</si>
  <si>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</si>
  <si>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</si>
  <si>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</si>
  <si>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</si>
  <si>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</si>
  <si>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</si>
  <si>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</si>
  <si>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</si>
  <si>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</si>
  <si>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</si>
  <si>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</si>
  <si>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</si>
  <si>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</si>
  <si>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</si>
  <si>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</si>
  <si>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</si>
  <si>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</si>
  <si>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</si>
  <si>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</si>
  <si>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</si>
  <si>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</si>
  <si>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</si>
  <si>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</si>
  <si>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</si>
  <si>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</si>
  <si>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</si>
  <si>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</si>
  <si>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</si>
  <si>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</si>
  <si>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</si>
  <si>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</si>
  <si>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</si>
  <si>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</si>
  <si>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</si>
  <si>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</si>
  <si>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</si>
  <si>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</si>
  <si>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</si>
  <si>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</si>
  <si>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</si>
  <si>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</si>
  <si>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</si>
  <si>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</si>
  <si>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</si>
  <si>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</si>
  <si>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</si>
  <si>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</si>
  <si>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</si>
  <si>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</si>
  <si>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</si>
  <si>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</si>
  <si>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</si>
  <si>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</si>
  <si>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</si>
  <si>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</si>
  <si>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</si>
  <si>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</si>
  <si>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</si>
  <si>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</si>
  <si>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</si>
  <si>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</si>
  <si>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</si>
  <si>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</si>
  <si>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</si>
  <si>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</si>
  <si>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</si>
  <si>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</si>
  <si>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</si>
  <si>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</si>
  <si>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</si>
  <si>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</si>
  <si>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</si>
  <si>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</si>
  <si>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</si>
  <si>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</si>
  <si>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</si>
  <si>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</si>
  <si>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</si>
  <si>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</si>
  <si>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</si>
  <si>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</si>
  <si>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</si>
  <si>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</si>
  <si>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</si>
  <si>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</si>
  <si>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</si>
  <si>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</si>
  <si>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</si>
  <si>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</si>
  <si>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</si>
  <si>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</si>
  <si>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</si>
  <si>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</si>
  <si>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</si>
  <si>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</si>
  <si>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</si>
  <si>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</si>
  <si>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</si>
  <si>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</si>
  <si>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</si>
  <si>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</si>
  <si>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</si>
  <si>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</si>
  <si>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</si>
  <si>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</si>
  <si>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</si>
  <si>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</si>
  <si>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</si>
  <si>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</si>
  <si>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</si>
  <si>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</si>
  <si>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</si>
  <si>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</si>
  <si>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</si>
  <si>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</si>
  <si>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</si>
  <si>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</si>
  <si>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</si>
  <si>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</si>
  <si>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</si>
  <si>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</si>
  <si>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</si>
  <si>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</si>
  <si>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</si>
  <si>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</si>
  <si>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</si>
  <si>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</si>
  <si>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</si>
  <si>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</si>
  <si>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</si>
  <si>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</si>
  <si>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</si>
  <si>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</si>
  <si>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</si>
  <si>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</si>
  <si>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</si>
  <si>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</si>
  <si>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</si>
  <si>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</si>
  <si>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</si>
  <si>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</si>
  <si>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</si>
  <si>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</si>
  <si>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</si>
  <si>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</si>
  <si>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</si>
  <si>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</si>
  <si>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</si>
  <si>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</si>
  <si>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</si>
  <si>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</si>
  <si>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</si>
  <si>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</si>
  <si>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</si>
  <si>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</si>
  <si>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</si>
  <si>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</si>
  <si>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</si>
  <si>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</si>
  <si>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</si>
  <si>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</si>
  <si>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</si>
  <si>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</si>
  <si>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</si>
  <si>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</si>
  <si>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</si>
  <si>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</si>
  <si>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</si>
  <si>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</si>
  <si>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</si>
  <si>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</si>
  <si>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</si>
  <si>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</si>
  <si>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</si>
  <si>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</si>
  <si>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</si>
  <si>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</si>
  <si>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</si>
  <si>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</si>
  <si>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</si>
  <si>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</si>
  <si>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</si>
  <si>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</si>
  <si>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</si>
  <si>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</si>
  <si>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</si>
  <si>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</si>
  <si>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</si>
  <si>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</si>
  <si>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</si>
  <si>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</si>
  <si>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</si>
  <si>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</si>
  <si>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</si>
  <si>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</si>
  <si>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</si>
  <si>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</si>
  <si>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</si>
  <si>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</si>
  <si>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</si>
  <si>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</si>
  <si>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</si>
  <si>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</si>
  <si>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</si>
  <si>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</si>
  <si>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</si>
  <si>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</si>
  <si>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</si>
  <si>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</si>
  <si>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</si>
  <si>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</si>
  <si>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</si>
  <si>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</si>
  <si>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</si>
  <si>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</si>
  <si>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</si>
  <si>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</si>
  <si>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</si>
  <si>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</si>
  <si>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</si>
  <si>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</si>
  <si>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</si>
  <si>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</si>
  <si>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</si>
  <si>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</si>
  <si>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</si>
  <si>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</si>
  <si>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</si>
  <si>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</si>
  <si>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</si>
  <si>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</si>
  <si>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</si>
  <si>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</si>
  <si>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</si>
  <si>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</si>
  <si>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</si>
  <si>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</si>
  <si>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</si>
  <si>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</si>
  <si>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</si>
  <si>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</si>
  <si>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</si>
  <si>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</si>
  <si>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</si>
  <si>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</si>
  <si>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</si>
  <si>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</si>
  <si>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</si>
  <si>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</si>
  <si>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</si>
  <si>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</si>
  <si>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</si>
  <si>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</si>
  <si>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</si>
  <si>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</si>
  <si>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</si>
  <si>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</si>
  <si>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</si>
  <si>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</si>
  <si>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</si>
  <si>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</si>
  <si>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</si>
  <si>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</si>
  <si>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</si>
  <si>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</si>
  <si>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</si>
  <si>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</si>
  <si>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</si>
  <si>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</si>
  <si>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</si>
  <si>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</si>
  <si>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</si>
  <si>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</si>
  <si>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</si>
  <si>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</si>
  <si>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</si>
  <si>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</si>
  <si>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</si>
  <si>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</si>
  <si>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</si>
  <si>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</si>
  <si>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</si>
  <si>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</si>
  <si>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</si>
  <si>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</si>
  <si>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</si>
  <si>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</si>
  <si>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</si>
  <si>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</si>
  <si>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</si>
  <si>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</si>
  <si>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</si>
  <si>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</si>
  <si>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</si>
  <si>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</si>
  <si>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</si>
  <si>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</si>
  <si>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</si>
  <si>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</si>
  <si>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</si>
  <si>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</si>
  <si>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</si>
  <si>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</si>
  <si>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</si>
  <si>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</si>
  <si>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</si>
  <si>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</si>
  <si>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</si>
  <si>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</si>
  <si>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</si>
  <si>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</si>
  <si>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</si>
  <si>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</si>
  <si>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</si>
  <si>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</si>
  <si>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</si>
  <si>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</si>
  <si>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</si>
  <si>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</si>
  <si>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</si>
  <si>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</si>
  <si>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</si>
  <si>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</si>
  <si>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</si>
  <si>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</si>
  <si>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</si>
  <si>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</si>
  <si>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</si>
  <si>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</si>
  <si>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</si>
  <si>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</si>
  <si>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</si>
  <si>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</si>
  <si>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</si>
  <si>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</si>
  <si>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</si>
  <si>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</si>
  <si>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</si>
  <si>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</si>
  <si>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</si>
  <si>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</si>
  <si>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</si>
  <si>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</si>
  <si>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</si>
  <si>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</si>
  <si>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</si>
  <si>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</si>
  <si>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</si>
  <si>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</si>
  <si>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</si>
  <si>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</si>
  <si>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</si>
  <si>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</si>
  <si>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</si>
  <si>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</si>
  <si>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</si>
  <si>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</si>
  <si>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</si>
  <si>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</si>
  <si>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</si>
  <si>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</si>
  <si>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</si>
  <si>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</si>
  <si>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</si>
  <si>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</si>
  <si>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</si>
  <si>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</si>
  <si>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</si>
  <si>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</si>
  <si>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</si>
  <si>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</si>
  <si>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</si>
  <si>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</si>
  <si>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</si>
  <si>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</si>
  <si>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</si>
  <si>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</si>
  <si>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</si>
  <si>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</si>
  <si>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</si>
  <si>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</si>
  <si>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</si>
  <si>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</si>
  <si>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</si>
  <si>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</si>
  <si>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</si>
  <si>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</si>
  <si>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</si>
  <si>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</si>
  <si>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</si>
  <si>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</si>
  <si>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</si>
  <si>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</si>
  <si>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</si>
  <si>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</si>
  <si>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</si>
  <si>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</si>
  <si>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</si>
  <si>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</si>
  <si>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</si>
  <si>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</si>
  <si>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</si>
  <si>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</si>
  <si>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</si>
  <si>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</si>
  <si>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</si>
  <si>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</si>
  <si>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</si>
  <si>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</si>
  <si>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</si>
  <si>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</si>
  <si>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</si>
  <si>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</si>
  <si>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</si>
  <si>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</si>
  <si>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</si>
  <si>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</si>
  <si>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</si>
  <si>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</si>
  <si>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</si>
  <si>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</si>
  <si>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</si>
  <si>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</si>
  <si>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</si>
  <si>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</si>
  <si>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</si>
  <si>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</si>
  <si>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</si>
  <si>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</si>
  <si>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</si>
  <si>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</si>
  <si>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</si>
  <si>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</si>
  <si>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</si>
  <si>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</si>
  <si>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</si>
  <si>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</si>
  <si>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</si>
  <si>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</si>
  <si>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</si>
  <si>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</si>
  <si>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</si>
  <si>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</si>
  <si>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</si>
  <si>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</si>
  <si>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</si>
  <si>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</si>
  <si>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</si>
  <si>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</si>
  <si>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</si>
  <si>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</si>
  <si>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</si>
  <si>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</si>
  <si>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</si>
  <si>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</si>
  <si>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</si>
  <si>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</si>
  <si>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</si>
  <si>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</si>
  <si>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</si>
  <si>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</si>
  <si>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</si>
  <si>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</si>
  <si>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</si>
  <si>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</si>
  <si>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</si>
  <si>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</si>
  <si>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</si>
  <si>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</si>
  <si>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</si>
  <si>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</si>
  <si>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</si>
  <si>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</si>
  <si>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</si>
  <si>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</si>
  <si>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</si>
  <si>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</si>
  <si>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</si>
  <si>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</si>
  <si>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</si>
  <si>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</si>
  <si>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</si>
  <si>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</si>
  <si>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</si>
  <si>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</si>
  <si>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</si>
  <si>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</si>
  <si>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</si>
  <si>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</si>
  <si>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</si>
  <si>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</si>
  <si>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</si>
  <si>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</si>
  <si>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</si>
  <si>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</si>
  <si>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</si>
  <si>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</si>
  <si>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</si>
  <si>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</si>
  <si>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</si>
  <si>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</si>
  <si>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</si>
  <si>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</si>
  <si>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</si>
  <si>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</si>
  <si>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</si>
  <si>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</si>
  <si>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</si>
  <si>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</si>
  <si>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</si>
  <si>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</si>
  <si>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</si>
  <si>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</si>
  <si>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</si>
  <si>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</si>
  <si>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</si>
  <si>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</si>
  <si>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</si>
  <si>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</si>
  <si>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</si>
  <si>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</si>
  <si>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</si>
  <si>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</si>
  <si>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</si>
  <si>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</si>
  <si>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</si>
  <si>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</si>
  <si>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</si>
  <si>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</si>
  <si>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</si>
  <si>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</si>
  <si>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</si>
  <si>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</si>
  <si>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</si>
  <si>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</si>
  <si>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</si>
  <si>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</si>
  <si>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</si>
  <si>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</si>
  <si>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</si>
  <si>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</si>
  <si>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</si>
  <si>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</si>
  <si>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</si>
  <si>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</si>
  <si>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</si>
  <si>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</si>
  <si>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</si>
  <si>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</si>
  <si>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</si>
  <si>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</si>
  <si>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</si>
  <si>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</si>
  <si>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</si>
  <si>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</si>
  <si>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</si>
  <si>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</si>
  <si>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</si>
  <si>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</si>
  <si>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</si>
  <si>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</si>
  <si>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</si>
  <si>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</si>
  <si>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</si>
  <si>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</si>
  <si>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</si>
  <si>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</si>
  <si>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</si>
  <si>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</si>
  <si>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</si>
  <si>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</si>
  <si>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</si>
  <si>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</si>
  <si>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</si>
  <si>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</si>
  <si>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</si>
  <si>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</si>
  <si>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</si>
  <si>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</si>
  <si>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</si>
  <si>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</si>
  <si>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</si>
  <si>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</si>
  <si>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</si>
  <si>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</si>
  <si>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</si>
  <si>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</si>
  <si>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</si>
  <si>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</si>
  <si>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</si>
  <si>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</si>
  <si>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</si>
  <si>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</si>
  <si>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</si>
  <si>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</si>
  <si>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</si>
  <si>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</si>
  <si>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</si>
  <si>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</si>
  <si>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</si>
  <si>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</si>
  <si>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</si>
  <si>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</si>
  <si>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</si>
  <si>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</si>
  <si>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</si>
  <si>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</si>
  <si>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</si>
  <si>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</si>
  <si>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</si>
  <si>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</si>
  <si>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</si>
  <si>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</si>
  <si>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</si>
  <si>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</si>
  <si>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</si>
  <si>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</si>
  <si>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</si>
  <si>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</si>
  <si>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</si>
  <si>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</si>
  <si>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</si>
  <si>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</si>
  <si>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</si>
  <si>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</si>
  <si>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</si>
  <si>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</si>
  <si>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</si>
  <si>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</si>
  <si>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</si>
  <si>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</si>
  <si>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</si>
  <si>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</si>
  <si>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</si>
  <si>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</si>
  <si>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</si>
  <si>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</si>
  <si>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</si>
  <si>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</si>
  <si>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</si>
  <si>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</si>
  <si>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</si>
  <si>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</si>
  <si>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</si>
  <si>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</si>
  <si>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</si>
  <si>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</si>
  <si>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</si>
  <si>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</si>
  <si>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</si>
  <si>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</si>
  <si>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</si>
  <si>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</si>
  <si>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</si>
  <si>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</si>
  <si>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</si>
  <si>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</si>
  <si>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</si>
  <si>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</si>
  <si>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</si>
  <si>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</si>
  <si>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</si>
  <si>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</si>
  <si>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</si>
  <si>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</si>
  <si>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</si>
  <si>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</si>
  <si>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</si>
  <si>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</si>
  <si>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</si>
  <si>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</si>
  <si>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</si>
  <si>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</si>
  <si>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</si>
  <si>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</si>
  <si>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</si>
  <si>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</si>
  <si>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</si>
  <si>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</si>
  <si>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</si>
  <si>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</si>
  <si>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</si>
  <si>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</si>
  <si>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</si>
  <si>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</si>
  <si>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</si>
  <si>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</si>
  <si>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</si>
  <si>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</si>
  <si>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</si>
  <si>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</si>
  <si>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</si>
  <si>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</si>
  <si>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</si>
  <si>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</si>
  <si>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</si>
  <si>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</si>
  <si>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</si>
  <si>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</si>
  <si>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</si>
  <si>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</si>
  <si>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</si>
  <si>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</si>
  <si>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</si>
  <si>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</si>
  <si>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</si>
  <si>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</si>
  <si>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</si>
  <si>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</si>
  <si>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</si>
  <si>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</si>
  <si>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</si>
  <si>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</si>
  <si>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</si>
  <si>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</si>
  <si>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</si>
  <si>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</si>
  <si>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</si>
  <si>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</si>
  <si>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</si>
  <si>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</si>
  <si>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</si>
  <si>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</si>
  <si>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</si>
  <si>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</si>
  <si>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</si>
  <si>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</si>
  <si>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</si>
  <si>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</si>
  <si>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</si>
  <si>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</si>
  <si>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</si>
  <si>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</si>
  <si>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</si>
  <si>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</si>
  <si>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</si>
  <si>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</si>
  <si>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</si>
  <si>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</si>
  <si>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</si>
  <si>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</si>
  <si>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</si>
  <si>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</si>
  <si>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</si>
  <si>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</si>
  <si>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</si>
  <si>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</si>
  <si>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</si>
  <si>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</si>
  <si>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</si>
  <si>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</si>
  <si>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</si>
  <si>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</si>
  <si>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</si>
  <si>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</si>
  <si>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</si>
  <si>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</si>
  <si>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</si>
  <si>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</si>
  <si>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</si>
  <si>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</si>
  <si>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</si>
  <si>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</si>
  <si>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</si>
  <si>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</si>
  <si>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</si>
  <si>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</si>
  <si>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</si>
  <si>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</si>
  <si>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</si>
  <si>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</si>
  <si>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</si>
  <si>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</si>
  <si>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</si>
  <si>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</si>
  <si>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</si>
  <si>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</si>
  <si>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</si>
  <si>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</si>
  <si>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</si>
  <si>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</si>
  <si>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</si>
  <si>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</si>
  <si>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</si>
  <si>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</si>
  <si>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</si>
  <si>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</si>
  <si>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</si>
  <si>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</si>
  <si>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</si>
  <si>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</si>
  <si>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</si>
  <si>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</si>
  <si>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</si>
  <si>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</si>
  <si>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</si>
  <si>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</si>
  <si>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</si>
  <si>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</si>
  <si>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</si>
  <si>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</si>
  <si>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</si>
  <si>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</si>
  <si>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</si>
  <si>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</si>
  <si>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</si>
  <si>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</si>
  <si>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</si>
  <si>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</si>
  <si>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</si>
  <si>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</si>
  <si>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</si>
  <si>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</si>
  <si>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</si>
  <si>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</si>
  <si>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</si>
  <si>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</si>
  <si>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</si>
  <si>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</si>
  <si>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</si>
  <si>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</si>
  <si>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</si>
  <si>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</si>
  <si>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</si>
  <si>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</si>
  <si>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</si>
  <si>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</si>
  <si>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</si>
  <si>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</si>
  <si>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</si>
  <si>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</si>
  <si>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</si>
  <si>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</si>
  <si>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</si>
  <si>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</si>
  <si>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</si>
  <si>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</si>
  <si>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</si>
  <si>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</si>
  <si>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</si>
  <si>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</si>
  <si>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</si>
  <si>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</si>
  <si>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</si>
  <si>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</si>
  <si>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</si>
  <si>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</si>
  <si>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</si>
  <si>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</si>
  <si>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</si>
  <si>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</si>
  <si>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</si>
  <si>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</si>
  <si>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</si>
  <si>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</si>
  <si>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</si>
  <si>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</si>
  <si>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</si>
  <si>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</si>
  <si>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</si>
  <si>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</si>
  <si>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</si>
  <si>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</si>
  <si>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</si>
  <si>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</si>
  <si>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</si>
  <si>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</si>
  <si>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</si>
  <si>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</si>
  <si>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</si>
  <si>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</si>
  <si>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</si>
  <si>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</si>
  <si>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</si>
  <si>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</si>
  <si>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</si>
  <si>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</si>
  <si>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</si>
  <si>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</si>
  <si>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</si>
  <si>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</si>
  <si>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</si>
  <si>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</si>
  <si>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</si>
  <si>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</si>
  <si>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</si>
  <si>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</si>
  <si>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</si>
  <si>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</si>
  <si>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</si>
  <si>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</si>
  <si>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</si>
  <si>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</si>
  <si>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</si>
  <si>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</si>
  <si>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</si>
  <si>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</si>
  <si>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</si>
  <si>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</si>
  <si>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</si>
  <si>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</si>
  <si>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</si>
  <si>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</si>
  <si>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</si>
  <si>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</si>
  <si>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</si>
  <si>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</si>
  <si>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</si>
  <si>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</si>
  <si>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</si>
  <si>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</si>
  <si>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</si>
  <si>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</si>
  <si>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</si>
  <si>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</si>
  <si>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</si>
  <si>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</si>
  <si>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</si>
  <si>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</si>
  <si>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</si>
  <si>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</si>
  <si>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</si>
  <si>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</si>
  <si>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</si>
  <si>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</si>
  <si>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</si>
  <si>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</si>
  <si>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</si>
  <si>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</si>
  <si>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</si>
  <si>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</si>
  <si>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</si>
  <si>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</si>
  <si>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</si>
  <si>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</si>
  <si>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</si>
  <si>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</si>
  <si>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</si>
  <si>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</si>
  <si>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</si>
  <si>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</si>
  <si>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</si>
  <si>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</si>
  <si>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</si>
  <si>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</si>
  <si>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</si>
  <si>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</si>
  <si>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</si>
  <si>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</si>
  <si>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</si>
  <si>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</si>
  <si>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</si>
  <si>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</si>
  <si>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</si>
  <si>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</si>
  <si>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</si>
  <si>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</si>
  <si>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</si>
  <si>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</si>
  <si>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</si>
  <si>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</si>
  <si>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</si>
  <si>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</si>
  <si>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</si>
  <si>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</si>
  <si>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</si>
  <si>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</si>
  <si>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</si>
  <si>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</si>
  <si>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</si>
  <si>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</si>
  <si>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</si>
  <si>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</si>
  <si>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</si>
  <si>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</si>
  <si>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</si>
  <si>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</si>
  <si>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</si>
  <si>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</si>
  <si>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</si>
  <si>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</si>
  <si>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</si>
  <si>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</si>
  <si>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</si>
  <si>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</si>
  <si>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</si>
  <si>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</si>
  <si>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</si>
  <si>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</si>
  <si>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</si>
  <si>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</si>
  <si>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</si>
  <si>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</si>
  <si>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</si>
  <si>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</si>
  <si>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</si>
  <si>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</si>
  <si>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</si>
  <si>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</si>
  <si>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</si>
  <si>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</si>
  <si>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</si>
  <si>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</si>
  <si>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</si>
  <si>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</si>
  <si>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</si>
  <si>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</si>
  <si>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</si>
  <si>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</si>
  <si>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</si>
  <si>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</si>
  <si>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</si>
  <si>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</si>
  <si>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</si>
  <si>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</si>
  <si>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</si>
  <si>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</si>
  <si>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</si>
  <si>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</si>
  <si>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</si>
  <si>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</si>
  <si>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</si>
  <si>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</si>
  <si>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</si>
  <si>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</si>
  <si>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</si>
  <si>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</si>
  <si>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</si>
  <si>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</si>
  <si>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</si>
  <si>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</si>
  <si>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</si>
  <si>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</si>
  <si>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</si>
  <si>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</si>
  <si>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</si>
  <si>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</si>
  <si>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</si>
  <si>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</si>
  <si>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</si>
  <si>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</si>
  <si>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</si>
  <si>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</si>
  <si>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</si>
  <si>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</si>
  <si>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</si>
  <si>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</si>
  <si>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</si>
  <si>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</si>
  <si>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</si>
  <si>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</si>
  <si>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</si>
  <si>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</si>
  <si>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</si>
  <si>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</si>
  <si>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</si>
  <si>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</si>
  <si>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</si>
  <si>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</si>
  <si>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</si>
  <si>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</si>
  <si>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</si>
  <si>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</si>
  <si>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</si>
  <si>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</si>
  <si>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</si>
  <si>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</si>
  <si>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</si>
  <si>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</si>
  <si>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</si>
  <si>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</si>
  <si>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</si>
  <si>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</si>
  <si>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</si>
  <si>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</si>
  <si>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</si>
  <si>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</si>
  <si>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</si>
  <si>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</si>
  <si>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</si>
  <si>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</si>
  <si>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</si>
  <si>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</si>
  <si>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</si>
  <si>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</si>
  <si>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</si>
  <si>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</si>
  <si>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</si>
  <si>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</si>
  <si>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</si>
  <si>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</si>
  <si>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</si>
  <si>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</si>
  <si>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</si>
  <si>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</si>
  <si>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</si>
  <si>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</si>
  <si>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</si>
  <si>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</si>
  <si>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</si>
  <si>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</si>
  <si>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</si>
  <si>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</si>
  <si>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</si>
  <si>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</si>
  <si>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</si>
  <si>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</si>
  <si>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</si>
  <si>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</si>
  <si>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</si>
  <si>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</si>
  <si>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</si>
  <si>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</si>
  <si>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</si>
  <si>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</si>
  <si>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</si>
  <si>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</si>
  <si>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</si>
  <si>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</si>
  <si>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</si>
  <si>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</si>
  <si>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</si>
  <si>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</si>
  <si>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</si>
  <si>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</si>
  <si>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</si>
  <si>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</si>
  <si>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</si>
  <si>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</si>
  <si>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</si>
  <si>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</si>
  <si>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</si>
  <si>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</si>
  <si>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</si>
  <si>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</si>
  <si>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</si>
  <si>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</si>
  <si>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</si>
  <si>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</si>
  <si>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</si>
  <si>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</si>
  <si>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</si>
  <si>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</si>
  <si>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</si>
  <si>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</si>
  <si>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</si>
  <si>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</si>
  <si>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</si>
  <si>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</si>
  <si>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</si>
  <si>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</si>
  <si>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</si>
  <si>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</si>
  <si>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</si>
  <si>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</si>
  <si>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</si>
  <si>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</si>
  <si>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</si>
  <si>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</si>
  <si>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</si>
  <si>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</si>
  <si>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</si>
  <si>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</si>
  <si>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</si>
  <si>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</si>
  <si>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</si>
  <si>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</si>
  <si>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</si>
  <si>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</si>
  <si>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</si>
  <si>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</si>
  <si>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</si>
  <si>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</si>
  <si>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</si>
  <si>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</si>
  <si>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</si>
  <si>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</si>
  <si>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</si>
  <si>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</si>
  <si>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</si>
  <si>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</si>
  <si>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</si>
  <si>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</si>
  <si>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</si>
  <si>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</si>
  <si>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</si>
  <si>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</si>
  <si>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</si>
  <si>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</si>
  <si>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</si>
  <si>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</si>
  <si>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</si>
  <si>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</si>
  <si>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</si>
  <si>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</si>
  <si>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</si>
  <si>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</si>
  <si>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</si>
  <si>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</si>
  <si>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</si>
  <si>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</si>
  <si>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</si>
  <si>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</si>
  <si>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</si>
  <si>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</si>
  <si>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</si>
  <si>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</si>
  <si>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</si>
  <si>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</si>
  <si>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</si>
  <si>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</si>
  <si>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</si>
  <si>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</si>
  <si>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</si>
  <si>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</si>
  <si>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</si>
  <si>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</si>
  <si>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</si>
  <si>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</si>
  <si>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</si>
  <si>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</si>
  <si>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</si>
  <si>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</si>
  <si>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</si>
  <si>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</si>
  <si>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</si>
  <si>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</si>
  <si>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</si>
  <si>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</si>
  <si>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</si>
  <si>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</si>
  <si>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</si>
  <si>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</si>
  <si>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</si>
  <si>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</si>
  <si>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</si>
  <si>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</si>
  <si>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</si>
  <si>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</si>
  <si>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</si>
  <si>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</si>
  <si>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</si>
  <si>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</si>
  <si>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</si>
  <si>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</si>
  <si>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</si>
  <si>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</si>
  <si>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</si>
  <si>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</si>
  <si>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</si>
  <si>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</si>
  <si>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</si>
  <si>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</si>
  <si>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</si>
  <si>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</si>
  <si>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</si>
  <si>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</si>
  <si>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</si>
  <si>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</si>
  <si>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</si>
  <si>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</si>
  <si>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</si>
  <si>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</si>
  <si>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</si>
  <si>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</si>
  <si>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</si>
  <si>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</si>
  <si>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</si>
  <si>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</si>
  <si>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</si>
  <si>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</si>
  <si>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</si>
  <si>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</si>
  <si>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</si>
  <si>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</si>
  <si>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</si>
  <si>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</si>
  <si>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</si>
  <si>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</si>
  <si>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</si>
  <si>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</si>
  <si>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</si>
  <si>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</si>
  <si>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</si>
  <si>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</si>
  <si>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</si>
  <si>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</si>
  <si>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</si>
  <si>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</si>
  <si>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</si>
  <si>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</si>
  <si>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</si>
  <si>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</si>
  <si>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</si>
  <si>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</si>
  <si>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</si>
  <si>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</si>
  <si>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</si>
  <si>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</si>
  <si>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</si>
  <si>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</si>
  <si>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</si>
  <si>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</si>
  <si>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</si>
  <si>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</si>
  <si>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</si>
  <si>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</si>
  <si>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</si>
  <si>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</si>
  <si>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</si>
  <si>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</si>
  <si>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</si>
  <si>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</si>
  <si>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</si>
  <si>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</si>
  <si>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</si>
  <si>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</si>
  <si>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</si>
  <si>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</si>
  <si>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</si>
  <si>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</si>
  <si>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</si>
  <si>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</si>
  <si>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</si>
  <si>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</si>
  <si>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</si>
  <si>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</si>
  <si>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</si>
  <si>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</si>
  <si>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</si>
  <si>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</si>
  <si>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</si>
  <si>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</si>
  <si>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</si>
  <si>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</si>
  <si>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</si>
  <si>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</si>
  <si>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</si>
  <si>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</si>
  <si>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</si>
  <si>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</si>
  <si>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</si>
  <si>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</si>
  <si>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</si>
  <si>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</si>
  <si>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</si>
  <si>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</si>
  <si>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</si>
  <si>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</si>
  <si>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</si>
  <si>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</si>
  <si>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</si>
  <si>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</si>
  <si>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</si>
  <si>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</si>
  <si>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</si>
  <si>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</si>
  <si>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</si>
  <si>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</si>
  <si>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</si>
  <si>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</si>
  <si>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</si>
  <si>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</si>
  <si>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</si>
  <si>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</si>
  <si>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</si>
  <si>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</si>
  <si>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</si>
  <si>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</si>
  <si>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</si>
  <si>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</si>
  <si>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</si>
  <si>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</si>
  <si>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</si>
  <si>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</si>
  <si>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</si>
  <si>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</si>
  <si>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</si>
  <si>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</si>
  <si>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</si>
  <si>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</si>
  <si>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</si>
  <si>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</si>
  <si>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</si>
  <si>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</si>
  <si>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</si>
  <si>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</si>
  <si>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</si>
  <si>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</si>
  <si>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</si>
  <si>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</si>
  <si>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</si>
  <si>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</si>
  <si>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</si>
  <si>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</si>
  <si>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</si>
  <si>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</si>
  <si>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</si>
  <si>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</si>
  <si>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</si>
  <si>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</si>
  <si>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</si>
  <si>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</si>
  <si>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</si>
  <si>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</si>
  <si>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</si>
  <si>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</si>
  <si>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</si>
  <si>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</si>
  <si>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</si>
  <si>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</si>
  <si>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</si>
  <si>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</si>
  <si>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</si>
  <si>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</si>
  <si>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</si>
  <si>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</si>
  <si>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</si>
  <si>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</si>
  <si>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</si>
  <si>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</si>
  <si>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</si>
  <si>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</si>
  <si>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</si>
  <si>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</si>
  <si>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</si>
  <si>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</si>
  <si>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</si>
  <si>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</si>
  <si>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</si>
  <si>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</si>
  <si>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</si>
  <si>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</si>
  <si>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</si>
  <si>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</si>
  <si>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</si>
  <si>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</si>
  <si>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</si>
  <si>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</si>
  <si>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</si>
  <si>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</si>
  <si>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</si>
  <si>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</si>
  <si>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</si>
  <si>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</si>
  <si>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</si>
  <si>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</si>
  <si>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</si>
  <si>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</si>
  <si>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</si>
  <si>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</si>
  <si>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</si>
  <si>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</si>
  <si>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</si>
  <si>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</si>
  <si>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</si>
  <si>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</si>
  <si>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</si>
  <si>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</si>
  <si>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</si>
  <si>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</si>
  <si>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</si>
  <si>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</si>
  <si>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</si>
  <si>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</si>
  <si>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</si>
  <si>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</si>
  <si>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</si>
  <si>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</si>
  <si>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</si>
  <si>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</si>
  <si>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</si>
  <si>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</si>
  <si>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</si>
  <si>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</si>
  <si>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</si>
  <si>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</si>
  <si>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</si>
  <si>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</si>
  <si>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</si>
  <si>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</si>
  <si>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</si>
  <si>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</si>
  <si>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</si>
  <si>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</si>
  <si>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</si>
  <si>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</si>
  <si>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</si>
  <si>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</si>
  <si>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</si>
  <si>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</si>
  <si>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</si>
  <si>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</si>
  <si>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</si>
  <si>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</si>
  <si>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</si>
  <si>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</si>
  <si>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</si>
  <si>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</si>
  <si>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</si>
  <si>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</si>
  <si>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</si>
  <si>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</si>
  <si>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</si>
  <si>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</si>
  <si>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</si>
  <si>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</si>
  <si>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</si>
  <si>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</si>
  <si>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</si>
  <si>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</si>
  <si>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</si>
  <si>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</si>
  <si>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</si>
  <si>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</si>
  <si>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</si>
  <si>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</si>
  <si>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</si>
  <si>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</si>
  <si>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</si>
  <si>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</si>
  <si>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</si>
  <si>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</si>
  <si>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</si>
  <si>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</si>
  <si>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</si>
  <si>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</si>
  <si>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</si>
  <si>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</si>
  <si>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</si>
  <si>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</si>
  <si>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</si>
  <si>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</si>
  <si>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</si>
  <si>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</si>
  <si>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</si>
  <si>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</si>
  <si>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</si>
  <si>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</si>
  <si>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</si>
  <si>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</si>
  <si>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</si>
  <si>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</si>
  <si>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</si>
  <si>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</si>
  <si>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</si>
  <si>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</si>
  <si>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</si>
  <si>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</si>
  <si>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</si>
  <si>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</si>
  <si>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</si>
  <si>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</si>
  <si>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</si>
  <si>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</si>
  <si>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</si>
  <si>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</si>
  <si>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</si>
  <si>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</si>
  <si>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</si>
  <si>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</si>
  <si>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</si>
  <si>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</si>
  <si>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</si>
  <si>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</si>
  <si>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</si>
  <si>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</si>
  <si>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</si>
  <si>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</si>
  <si>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</si>
  <si>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</si>
  <si>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</si>
  <si>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</si>
  <si>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</si>
  <si>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</si>
  <si>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</si>
  <si>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</si>
  <si>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</si>
  <si>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</si>
  <si>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</si>
  <si>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</si>
  <si>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</si>
  <si>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</si>
  <si>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</si>
  <si>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</si>
  <si>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</si>
  <si>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</si>
  <si>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</si>
  <si>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</si>
  <si>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</si>
  <si>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</si>
  <si>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</si>
  <si>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</si>
  <si>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</si>
  <si>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</si>
  <si>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</si>
  <si>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</si>
  <si>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</si>
  <si>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</si>
  <si>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</si>
  <si>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</si>
  <si>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</si>
  <si>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</si>
  <si>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</si>
  <si>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</si>
  <si>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</si>
  <si>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</si>
  <si>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</si>
  <si>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</si>
  <si>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</si>
  <si>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</si>
  <si>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</si>
  <si>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</si>
  <si>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</si>
  <si>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</si>
  <si>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</si>
  <si>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</si>
  <si>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</si>
  <si>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</si>
  <si>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</si>
  <si>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</si>
  <si>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</si>
  <si>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</si>
  <si>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</si>
  <si>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</si>
  <si>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</si>
  <si>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</si>
  <si>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</si>
  <si>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</si>
  <si>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</si>
  <si>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</si>
  <si>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</si>
  <si>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</si>
  <si>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</si>
  <si>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</si>
  <si>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</si>
  <si>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</si>
  <si>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</si>
  <si>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</si>
  <si>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</si>
  <si>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</si>
  <si>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</si>
  <si>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</si>
  <si>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</si>
  <si>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</si>
  <si>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</si>
  <si>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</si>
  <si>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</si>
  <si>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</si>
  <si>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</si>
  <si>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</si>
  <si>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</si>
  <si>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</si>
  <si>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</si>
  <si>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</si>
  <si>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</si>
  <si>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</si>
  <si>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</si>
  <si>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</si>
  <si>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</si>
  <si>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</si>
  <si>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</si>
  <si>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</si>
  <si>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</si>
  <si>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</si>
  <si>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</si>
  <si>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</si>
  <si>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</si>
  <si>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</si>
  <si>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</si>
  <si>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</si>
  <si>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</si>
  <si>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</si>
  <si>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</si>
  <si>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</si>
  <si>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</si>
  <si>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</si>
  <si>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</si>
  <si>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</si>
  <si>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</si>
  <si>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</si>
  <si>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</si>
  <si>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</si>
  <si>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</si>
  <si>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</si>
  <si>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</si>
  <si>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</si>
  <si>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</si>
  <si>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</si>
  <si>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</si>
  <si>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</si>
  <si>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</si>
  <si>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</si>
  <si>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</si>
  <si>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</si>
  <si>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</si>
  <si>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</si>
  <si>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</si>
  <si>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</si>
  <si>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</si>
  <si>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</si>
  <si>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</si>
  <si>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</si>
  <si>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</si>
  <si>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</si>
  <si>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</si>
  <si>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</si>
  <si>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</si>
  <si>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</si>
  <si>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</si>
  <si>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</si>
  <si>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</si>
  <si>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</si>
  <si>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</si>
  <si>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</si>
  <si>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</si>
  <si>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</si>
  <si>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</si>
  <si>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</si>
  <si>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</si>
  <si>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</si>
  <si>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</si>
  <si>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</si>
  <si>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</si>
  <si>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</si>
  <si>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</si>
  <si>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</si>
  <si>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</si>
  <si>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</si>
  <si>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</si>
  <si>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</si>
  <si>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</si>
  <si>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</si>
  <si>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</si>
  <si>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</si>
  <si>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</si>
  <si>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</si>
  <si>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</si>
  <si>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</si>
  <si>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</si>
  <si>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</si>
  <si>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</si>
  <si>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</si>
  <si>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</si>
  <si>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</si>
  <si>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</si>
  <si>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</si>
  <si>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</si>
  <si>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</si>
  <si>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</si>
  <si>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</si>
  <si>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</si>
  <si>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</si>
  <si>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</si>
  <si>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</si>
  <si>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</si>
  <si>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</si>
  <si>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</si>
  <si>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</si>
  <si>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</si>
  <si>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</si>
  <si>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</si>
  <si>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</si>
  <si>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</si>
  <si>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</si>
  <si>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</si>
  <si>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</si>
  <si>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</si>
  <si>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</si>
  <si>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</si>
  <si>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</si>
  <si>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</si>
  <si>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</si>
  <si>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</si>
  <si>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</si>
  <si>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</si>
  <si>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</si>
  <si>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</si>
  <si>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</si>
  <si>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</si>
  <si>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</si>
  <si>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</si>
  <si>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</si>
  <si>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</si>
  <si>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</si>
  <si>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</si>
  <si>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</si>
  <si>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</si>
  <si>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</si>
  <si>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</si>
  <si>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</si>
  <si>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</si>
  <si>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</si>
  <si>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</si>
  <si>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</si>
  <si>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</si>
  <si>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</si>
  <si>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</si>
  <si>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</si>
  <si>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</si>
  <si>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</si>
  <si>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</si>
  <si>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</si>
  <si>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</si>
  <si>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</si>
  <si>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</si>
  <si>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</si>
  <si>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</si>
  <si>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</si>
  <si>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</si>
  <si>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</si>
  <si>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</si>
  <si>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</si>
  <si>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</si>
  <si>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</si>
  <si>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</si>
  <si>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</si>
  <si>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</si>
  <si>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</si>
  <si>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</si>
  <si>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</si>
  <si>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</si>
  <si>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</si>
  <si>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</si>
  <si>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</si>
  <si>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</si>
  <si>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</si>
  <si>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</si>
  <si>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</si>
  <si>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</si>
  <si>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</si>
  <si>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</si>
  <si>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</si>
  <si>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</si>
  <si>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</si>
  <si>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</si>
  <si>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</si>
  <si>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</si>
  <si>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</si>
  <si>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</si>
  <si>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</si>
  <si>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</si>
  <si>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</si>
  <si>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</si>
  <si>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</si>
  <si>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</si>
  <si>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</si>
  <si>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</si>
  <si>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</si>
  <si>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</si>
  <si>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</si>
  <si>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</si>
  <si>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</si>
  <si>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</si>
  <si>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</si>
  <si>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</si>
  <si>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</si>
  <si>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</si>
  <si>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</si>
  <si>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</si>
  <si>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</si>
  <si>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</si>
  <si>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</si>
  <si>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</si>
  <si>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</si>
  <si>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</si>
  <si>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</si>
  <si>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</si>
  <si>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</si>
  <si>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</si>
  <si>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</si>
  <si>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</si>
  <si>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</si>
  <si>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</si>
  <si>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</si>
  <si>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</si>
  <si>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</si>
  <si>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</si>
  <si>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</si>
  <si>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</si>
  <si>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</si>
  <si>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</si>
  <si>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</si>
  <si>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</si>
  <si>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</si>
  <si>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</si>
  <si>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</si>
  <si>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</si>
  <si>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</si>
  <si>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</si>
  <si>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</si>
  <si>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</si>
  <si>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</si>
  <si>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</si>
  <si>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</si>
  <si>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</si>
  <si>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</si>
  <si>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</si>
  <si>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</si>
  <si>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</si>
  <si>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</si>
  <si>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</si>
  <si>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</si>
  <si>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</si>
  <si>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</si>
  <si>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</si>
  <si>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</si>
  <si>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</si>
  <si>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</si>
  <si>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</si>
  <si>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</si>
  <si>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</si>
  <si>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</si>
  <si>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</si>
  <si>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</si>
  <si>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</si>
  <si>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</si>
  <si>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</si>
  <si>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</si>
  <si>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</si>
  <si>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</si>
  <si>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</si>
  <si>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</si>
  <si>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</si>
  <si>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</si>
  <si>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</si>
  <si>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</si>
  <si>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</si>
  <si>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</si>
  <si>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</si>
  <si>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</si>
  <si>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</si>
  <si>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</si>
  <si>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</si>
  <si>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</si>
  <si>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</si>
  <si>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</si>
  <si>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</si>
  <si>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</si>
  <si>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</si>
  <si>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</si>
  <si>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</si>
  <si>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</si>
  <si>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</si>
  <si>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</si>
  <si>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</si>
  <si>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</si>
  <si>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</si>
  <si>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</si>
  <si>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</si>
  <si>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</si>
  <si>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</si>
  <si>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</si>
  <si>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</si>
  <si>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</si>
  <si>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</si>
  <si>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</si>
  <si>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</si>
  <si>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</si>
  <si>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</si>
  <si>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</si>
  <si>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</si>
  <si>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</si>
  <si>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</si>
  <si>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</si>
  <si>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</si>
  <si>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</si>
  <si>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</si>
  <si>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</si>
  <si>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</si>
  <si>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</si>
  <si>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</si>
  <si>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</si>
  <si>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</si>
  <si>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</si>
  <si>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</si>
  <si>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</si>
  <si>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</si>
  <si>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</si>
  <si>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</si>
  <si>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</si>
  <si>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</si>
  <si>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</si>
  <si>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</si>
  <si>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</si>
  <si>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</si>
  <si>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</si>
  <si>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</si>
  <si>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</si>
  <si>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</si>
  <si>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</si>
  <si>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</si>
  <si>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</si>
  <si>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</si>
  <si>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</si>
  <si>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</si>
  <si>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</si>
  <si>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</si>
  <si>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</si>
  <si>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</si>
  <si>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</si>
  <si>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</si>
  <si>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</si>
  <si>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</si>
  <si>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</si>
  <si>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</si>
  <si>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</si>
  <si>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</si>
  <si>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</si>
  <si>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</si>
  <si>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</si>
  <si>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</si>
  <si>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</si>
  <si>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</si>
  <si>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</si>
  <si>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</si>
  <si>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</si>
  <si>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</si>
  <si>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</si>
  <si>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</si>
  <si>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</si>
  <si>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</si>
  <si>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</si>
  <si>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</si>
  <si>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</si>
  <si>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</si>
  <si>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</si>
  <si>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</si>
  <si>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</si>
  <si>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</si>
  <si>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</si>
  <si>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</si>
  <si>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</si>
  <si>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</si>
  <si>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</si>
  <si>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</si>
  <si>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</si>
  <si>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</si>
  <si>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</si>
  <si>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</si>
  <si>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</si>
  <si>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</si>
  <si>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</si>
  <si>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</si>
  <si>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</si>
  <si>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</si>
  <si>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</si>
  <si>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</si>
  <si>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</si>
  <si>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</si>
  <si>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</si>
  <si>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</si>
  <si>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</si>
  <si>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</si>
  <si>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</si>
  <si>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</si>
  <si>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</si>
  <si>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</si>
  <si>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</si>
  <si>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</si>
  <si>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</si>
  <si>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</si>
  <si>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</si>
  <si>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</si>
  <si>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</si>
  <si>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</si>
  <si>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</si>
  <si>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</si>
  <si>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</si>
  <si>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</si>
  <si>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</si>
  <si>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</si>
  <si>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</si>
  <si>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</si>
  <si>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</si>
  <si>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</si>
  <si>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</si>
  <si>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</si>
  <si>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</si>
  <si>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</si>
  <si>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</si>
  <si>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</si>
  <si>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</si>
  <si>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</si>
  <si>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</si>
  <si>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</si>
  <si>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</si>
  <si>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</si>
  <si>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</si>
  <si>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</si>
  <si>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</si>
  <si>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</si>
  <si>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</si>
  <si>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</si>
  <si>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</si>
  <si>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</si>
  <si>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</si>
  <si>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</si>
  <si>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</si>
  <si>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</si>
  <si>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</si>
  <si>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</si>
  <si>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</si>
  <si>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</si>
  <si>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</si>
  <si>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</si>
  <si>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</si>
  <si>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</si>
  <si>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</si>
  <si>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</si>
  <si>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</si>
  <si>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</si>
  <si>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</si>
  <si>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</si>
  <si>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</si>
  <si>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</si>
  <si>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</si>
  <si>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</si>
  <si>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</si>
  <si>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</si>
  <si>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</si>
  <si>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</si>
  <si>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</si>
  <si>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</si>
  <si>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</si>
  <si>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</si>
  <si>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</si>
  <si>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</si>
  <si>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</si>
  <si>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</si>
  <si>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</si>
  <si>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</si>
  <si>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</si>
  <si>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</si>
  <si>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</si>
  <si>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</si>
  <si>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</si>
  <si>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</si>
  <si>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</si>
  <si>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</si>
  <si>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</si>
  <si>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</si>
  <si>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</si>
  <si>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</si>
  <si>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</si>
  <si>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</si>
  <si>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</si>
  <si>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</si>
  <si>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</si>
  <si>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</si>
  <si>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</si>
  <si>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</si>
  <si>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</si>
  <si>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</si>
  <si>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</si>
  <si>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</si>
  <si>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</si>
  <si>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</si>
  <si>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</si>
  <si>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</si>
  <si>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</si>
  <si>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</si>
  <si>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</si>
  <si>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</si>
  <si>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</si>
  <si>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</si>
  <si>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</si>
  <si>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</si>
  <si>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</si>
  <si>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</si>
  <si>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</si>
  <si>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</si>
  <si>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</si>
  <si>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</si>
  <si>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</si>
  <si>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</si>
  <si>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</si>
  <si>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</si>
  <si>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</si>
  <si>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</si>
  <si>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</si>
  <si>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</si>
  <si>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</si>
  <si>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</si>
  <si>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</si>
  <si>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</si>
  <si>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</si>
  <si>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</si>
  <si>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</si>
  <si>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</si>
  <si>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</si>
  <si>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</si>
  <si>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</si>
  <si>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</si>
  <si>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</si>
  <si>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</si>
  <si>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</si>
  <si>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</si>
  <si>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</si>
  <si>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</si>
  <si>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</si>
  <si>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</si>
  <si>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</si>
  <si>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</si>
  <si>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</si>
  <si>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</si>
  <si>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</si>
  <si>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</si>
  <si>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</si>
  <si>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</si>
  <si>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</si>
  <si>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</si>
  <si>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</si>
  <si>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</si>
  <si>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</si>
  <si>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</si>
  <si>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</si>
  <si>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</si>
  <si>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</si>
  <si>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</si>
  <si>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</si>
  <si>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</si>
  <si>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</si>
  <si>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</si>
  <si>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</si>
  <si>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</si>
  <si>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</si>
  <si>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</si>
  <si>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</si>
  <si>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</si>
  <si>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</si>
  <si>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</si>
  <si>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</si>
  <si>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</si>
  <si>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</si>
  <si>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</si>
  <si>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</si>
  <si>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</si>
  <si>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</si>
  <si>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</si>
  <si>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</si>
  <si>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</si>
  <si>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</si>
  <si>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</si>
  <si>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</si>
  <si>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</si>
  <si>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</si>
  <si>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</si>
  <si>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</si>
  <si>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</si>
  <si>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</si>
  <si>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</si>
  <si>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</si>
  <si>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</si>
  <si>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</si>
  <si>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</si>
  <si>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</si>
  <si>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</si>
  <si>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</si>
  <si>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</si>
  <si>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</si>
  <si>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</si>
  <si>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</si>
  <si>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</si>
  <si>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</si>
  <si>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</si>
  <si>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</si>
  <si>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</si>
  <si>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</si>
  <si>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</si>
  <si>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</si>
  <si>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</si>
  <si>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</si>
  <si>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</si>
  <si>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</si>
  <si>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</si>
  <si>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</si>
  <si>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</si>
  <si>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</si>
  <si>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</si>
  <si>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</si>
  <si>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</si>
  <si>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</si>
  <si>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</si>
  <si>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</si>
  <si>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</si>
  <si>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</si>
  <si>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</si>
  <si>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</si>
  <si>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</si>
  <si>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</si>
  <si>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</si>
  <si>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</si>
  <si>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</si>
  <si>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</si>
  <si>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</si>
  <si>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</si>
  <si>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</si>
  <si>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</si>
  <si>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</si>
  <si>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</si>
  <si>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</si>
  <si>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</si>
  <si>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</si>
  <si>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</si>
  <si>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</si>
  <si>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</si>
  <si>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</si>
  <si>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</si>
  <si>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</si>
  <si>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</si>
  <si>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</si>
  <si>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</si>
  <si>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</si>
  <si>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</si>
  <si>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</si>
  <si>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</si>
  <si>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</si>
  <si>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</si>
  <si>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</si>
  <si>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</si>
  <si>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</si>
  <si>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</si>
  <si>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</si>
  <si>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</si>
  <si>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</si>
  <si>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</si>
  <si>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</si>
  <si>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</si>
  <si>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</si>
  <si>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</si>
  <si>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</si>
  <si>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</si>
  <si>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</si>
  <si>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</si>
  <si>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</si>
  <si>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</si>
  <si>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</si>
  <si>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</si>
  <si>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</si>
  <si>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</si>
  <si>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</si>
  <si>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</si>
  <si>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</si>
  <si>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</si>
  <si>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</si>
  <si>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</si>
  <si>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</si>
  <si>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</si>
  <si>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</si>
  <si>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</si>
  <si>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</si>
  <si>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</si>
  <si>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</si>
  <si>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</si>
  <si>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</si>
  <si>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</si>
  <si>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</si>
  <si>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</si>
  <si>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</si>
  <si>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</si>
  <si>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</si>
  <si>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</si>
  <si>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</si>
  <si>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</si>
  <si>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</si>
  <si>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</si>
  <si>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</si>
  <si>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</si>
  <si>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</si>
  <si>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</si>
  <si>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</si>
  <si>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</si>
  <si>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</si>
  <si>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</si>
  <si>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</si>
  <si>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</si>
  <si>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</si>
  <si>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</si>
  <si>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</si>
  <si>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</si>
  <si>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</si>
  <si>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</si>
  <si>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</si>
  <si>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</si>
  <si>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</si>
  <si>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</si>
  <si>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</si>
  <si>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</si>
  <si>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</si>
  <si>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</si>
  <si>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</si>
  <si>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</si>
  <si>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</si>
  <si>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</si>
  <si>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</si>
  <si>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</si>
  <si>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</si>
  <si>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</si>
  <si>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</si>
  <si>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</si>
  <si>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</si>
  <si>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</si>
  <si>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</si>
  <si>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</si>
  <si>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</si>
  <si>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</si>
  <si>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</si>
  <si>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</si>
  <si>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</si>
  <si>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</si>
  <si>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</si>
  <si>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</si>
  <si>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</si>
  <si>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</si>
  <si>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</si>
  <si>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</si>
  <si>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</si>
  <si>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</si>
  <si>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</si>
  <si>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</si>
  <si>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</si>
  <si>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</si>
  <si>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</si>
  <si>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</si>
  <si>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</si>
  <si>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</si>
  <si>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</si>
  <si>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</si>
  <si>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</si>
  <si>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</si>
  <si>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</si>
  <si>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</si>
  <si>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</si>
  <si>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</si>
  <si>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</si>
  <si>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</si>
  <si>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</si>
  <si>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</si>
  <si>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</si>
  <si>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</si>
  <si>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</si>
  <si>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</si>
  <si>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</si>
  <si>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</si>
  <si>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</si>
  <si>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</si>
  <si>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</si>
  <si>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</si>
  <si>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</si>
  <si>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</si>
  <si>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</si>
  <si>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</si>
  <si>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</si>
  <si>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</si>
  <si>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</si>
  <si>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</si>
  <si>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</si>
  <si>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</si>
  <si>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</si>
  <si>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</si>
  <si>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</si>
  <si>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</si>
  <si>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</si>
  <si>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</si>
  <si>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</si>
  <si>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</si>
  <si>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</si>
  <si>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</si>
  <si>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</si>
  <si>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</si>
  <si>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</si>
  <si>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</si>
  <si>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</si>
  <si>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</si>
  <si>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</si>
  <si>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</si>
  <si>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</si>
  <si>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</si>
  <si>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</si>
  <si>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</si>
  <si>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</si>
  <si>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</si>
  <si>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</si>
  <si>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</si>
  <si>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</si>
  <si>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</si>
  <si>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</si>
  <si>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</si>
  <si>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</si>
  <si>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</si>
  <si>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</si>
  <si>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</si>
  <si>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</si>
  <si>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</si>
  <si>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</si>
  <si>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</si>
  <si>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</si>
  <si>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</si>
  <si>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</si>
  <si>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</si>
  <si>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</si>
  <si>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</si>
  <si>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</si>
  <si>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</si>
  <si>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</si>
  <si>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</si>
  <si>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</si>
  <si>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</si>
  <si>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</si>
  <si>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</si>
  <si>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</si>
  <si>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</si>
  <si>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</si>
  <si>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</si>
  <si>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</si>
  <si>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</si>
  <si>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</si>
  <si>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</si>
  <si>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</si>
  <si>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</si>
  <si>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</si>
  <si>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</si>
  <si>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</si>
  <si>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</si>
  <si>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</si>
  <si>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</si>
  <si>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</si>
  <si>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</si>
  <si>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</si>
  <si>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</si>
  <si>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</si>
  <si>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</si>
  <si>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</si>
  <si>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</si>
  <si>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</si>
  <si>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</si>
  <si>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</si>
  <si>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</si>
  <si>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</si>
  <si>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</si>
  <si>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</si>
  <si>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</si>
  <si>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</si>
  <si>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</si>
  <si>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</si>
  <si>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</si>
  <si>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</si>
  <si>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</si>
  <si>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</si>
  <si>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</si>
  <si>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</si>
  <si>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</si>
  <si>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</si>
  <si>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</si>
  <si>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</si>
  <si>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</si>
  <si>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</si>
  <si>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</si>
  <si>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</si>
  <si>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</si>
  <si>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</si>
  <si>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</si>
  <si>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</si>
  <si>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</si>
  <si>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</si>
  <si>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</si>
  <si>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</si>
  <si>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</si>
  <si>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</si>
  <si>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</si>
  <si>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</si>
  <si>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</si>
  <si>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</si>
  <si>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</si>
  <si>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</si>
  <si>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</si>
  <si>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</si>
  <si>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</si>
  <si>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</si>
  <si>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</si>
  <si>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</si>
  <si>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</si>
  <si>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</si>
  <si>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</si>
  <si>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</si>
  <si>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</si>
  <si>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</si>
  <si>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</si>
  <si>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</si>
  <si>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</si>
  <si>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</si>
  <si>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</si>
  <si>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</si>
  <si>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</si>
  <si>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</si>
  <si>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</si>
  <si>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</si>
  <si>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</si>
  <si>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</si>
  <si>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</si>
  <si>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</si>
  <si>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</si>
  <si>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</si>
  <si>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</si>
  <si>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</si>
  <si>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</si>
  <si>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</si>
  <si>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</si>
  <si>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</si>
  <si>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</si>
  <si>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</si>
  <si>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</si>
  <si>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</si>
  <si>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</si>
  <si>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</si>
  <si>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</si>
  <si>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</si>
  <si>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</si>
  <si>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</si>
  <si>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</si>
  <si>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</si>
  <si>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</si>
  <si>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</si>
  <si>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</si>
  <si>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</si>
  <si>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</si>
  <si>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</si>
  <si>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</si>
  <si>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</si>
  <si>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</si>
  <si>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</si>
  <si>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</si>
  <si>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</si>
  <si>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</si>
  <si>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</si>
  <si>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</si>
  <si>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</si>
  <si>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</si>
  <si>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</si>
  <si>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</si>
  <si>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</si>
  <si>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</si>
  <si>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</si>
  <si>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</si>
  <si>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</si>
  <si>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</si>
  <si>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</si>
  <si>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</si>
  <si>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</si>
  <si>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</si>
  <si>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</si>
  <si>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</si>
  <si>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</si>
  <si>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</si>
  <si>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</si>
  <si>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</si>
  <si>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</si>
  <si>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</si>
  <si>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</si>
  <si>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</si>
  <si>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</si>
  <si>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</si>
  <si>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</si>
  <si>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</si>
  <si>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</si>
  <si>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</si>
  <si>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</si>
  <si>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</si>
  <si>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</si>
  <si>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</si>
  <si>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</si>
  <si>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</si>
  <si>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</si>
  <si>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</si>
  <si>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</si>
  <si>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</si>
  <si>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</si>
  <si>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</si>
  <si>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</si>
  <si>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</si>
  <si>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</si>
  <si>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</si>
  <si>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</si>
  <si>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</si>
  <si>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</si>
  <si>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</si>
  <si>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</si>
  <si>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</si>
  <si>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</si>
  <si>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</si>
  <si>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</si>
  <si>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</si>
  <si>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</si>
  <si>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</si>
  <si>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</si>
  <si>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</si>
  <si>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</si>
  <si>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</si>
  <si>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</si>
  <si>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</si>
  <si>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</si>
  <si>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</si>
  <si>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</si>
  <si>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</si>
  <si>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</si>
  <si>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</si>
  <si>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</si>
  <si>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</si>
  <si>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</si>
  <si>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</si>
  <si>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</si>
  <si>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</si>
  <si>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</si>
  <si>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</si>
  <si>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</si>
  <si>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</si>
  <si>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</si>
  <si>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</si>
  <si>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</si>
  <si>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</si>
  <si>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</si>
  <si>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</si>
  <si>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</si>
  <si>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</si>
  <si>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</si>
  <si>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</si>
  <si>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</si>
  <si>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</si>
  <si>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</si>
  <si>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</si>
  <si>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</si>
  <si>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</si>
  <si>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</si>
  <si>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</si>
  <si>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</si>
  <si>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</si>
  <si>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</si>
  <si>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</si>
  <si>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</si>
  <si>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</si>
  <si>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</si>
  <si>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</si>
  <si>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</si>
  <si>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</si>
  <si>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</si>
  <si>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</si>
  <si>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</si>
  <si>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</si>
  <si>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</si>
  <si>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</si>
  <si>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</si>
  <si>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</si>
  <si>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</si>
  <si>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</si>
  <si>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</si>
  <si>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</si>
  <si>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</si>
  <si>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</si>
  <si>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</si>
  <si>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</si>
  <si>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</si>
  <si>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</si>
  <si>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</si>
  <si>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</si>
  <si>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</si>
  <si>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</si>
  <si>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</si>
  <si>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</si>
  <si>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</si>
  <si>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</si>
  <si>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</si>
  <si>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</si>
  <si>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</si>
  <si>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</si>
  <si>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</si>
  <si>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</si>
  <si>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</si>
  <si>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</si>
  <si>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</si>
  <si>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</si>
  <si>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</si>
  <si>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</si>
  <si>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</si>
  <si>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</si>
  <si>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</si>
  <si>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</si>
  <si>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</si>
  <si>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</si>
  <si>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</si>
  <si>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</si>
  <si>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</si>
  <si>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</si>
  <si>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</si>
  <si>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</si>
  <si>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</si>
  <si>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</si>
  <si>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</si>
  <si>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</si>
  <si>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</si>
  <si>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</si>
  <si>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</si>
  <si>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</si>
  <si>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</si>
  <si>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</si>
  <si>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</si>
  <si>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</si>
  <si>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</si>
  <si>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</si>
  <si>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</si>
  <si>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</si>
  <si>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</si>
  <si>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</si>
  <si>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</si>
  <si>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</si>
  <si>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</si>
  <si>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</si>
  <si>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</si>
  <si>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</si>
  <si>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</si>
  <si>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</si>
  <si>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</si>
  <si>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</si>
  <si>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</si>
  <si>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</si>
  <si>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</si>
  <si>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</si>
  <si>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</si>
  <si>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</si>
  <si>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</si>
  <si>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</si>
  <si>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</si>
  <si>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</si>
  <si>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</si>
  <si>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</si>
  <si>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</si>
  <si>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</si>
  <si>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</si>
  <si>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</si>
  <si>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</si>
  <si>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</si>
  <si>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</si>
  <si>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</si>
  <si>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</si>
  <si>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</si>
  <si>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</si>
  <si>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</si>
  <si>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</si>
  <si>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</si>
  <si>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</si>
  <si>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</si>
  <si>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</si>
  <si>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</si>
  <si>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</si>
  <si>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</si>
  <si>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</si>
  <si>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</si>
  <si>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</si>
  <si>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</si>
  <si>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</si>
  <si>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</si>
  <si>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</si>
  <si>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</si>
  <si>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</si>
  <si>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</si>
  <si>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</si>
  <si>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</si>
  <si>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</si>
  <si>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</si>
  <si>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</si>
  <si>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</si>
  <si>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</si>
  <si>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</si>
  <si>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</si>
  <si>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</si>
  <si>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</si>
  <si>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</si>
  <si>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</si>
  <si>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</si>
  <si>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</si>
  <si>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</si>
  <si>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</si>
  <si>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</si>
  <si>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</si>
  <si>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</si>
  <si>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</si>
  <si>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</si>
  <si>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</si>
  <si>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</si>
  <si>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</si>
  <si>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</si>
  <si>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</si>
  <si>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</si>
  <si>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</si>
  <si>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</si>
  <si>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</si>
  <si>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</si>
  <si>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</si>
  <si>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</si>
  <si>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</si>
  <si>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</si>
  <si>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</si>
  <si>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</si>
  <si>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</si>
  <si>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</si>
  <si>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</si>
  <si>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</si>
  <si>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</si>
  <si>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</si>
  <si>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</si>
  <si>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</si>
  <si>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</si>
  <si>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</si>
  <si>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</si>
  <si>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</si>
  <si>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</si>
  <si>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</si>
  <si>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</si>
  <si>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</si>
  <si>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</si>
  <si>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</si>
  <si>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</si>
  <si>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</si>
  <si>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</si>
  <si>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</si>
  <si>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</si>
  <si>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</si>
  <si>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</si>
  <si>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</si>
  <si>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</si>
  <si>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</si>
  <si>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</si>
  <si>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</si>
  <si>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</si>
  <si>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</si>
  <si>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</si>
  <si>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</si>
  <si>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</si>
  <si>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</si>
  <si>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</si>
  <si>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</si>
  <si>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</si>
  <si>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</si>
  <si>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</si>
  <si>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</si>
  <si>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</si>
  <si>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</si>
  <si>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</si>
  <si>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</si>
  <si>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</si>
  <si>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</si>
  <si>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</si>
  <si>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</si>
  <si>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</si>
  <si>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</si>
  <si>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</si>
  <si>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</si>
  <si>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</si>
  <si>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</si>
  <si>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</si>
  <si>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</si>
  <si>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</si>
  <si>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</si>
  <si>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</si>
  <si>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</si>
  <si>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</si>
  <si>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</si>
  <si>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</si>
  <si>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</si>
  <si>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</si>
  <si>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</si>
  <si>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</si>
  <si>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</si>
  <si>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</si>
  <si>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</si>
  <si>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</si>
  <si>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</si>
  <si>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</si>
  <si>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</si>
  <si>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</si>
  <si>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</si>
  <si>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</si>
  <si>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</si>
  <si>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</si>
  <si>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</si>
  <si>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</si>
  <si>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</si>
  <si>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</si>
  <si>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</si>
  <si>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</si>
  <si>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</si>
  <si>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</si>
  <si>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</si>
  <si>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</si>
  <si>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</si>
  <si>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</si>
  <si>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</si>
  <si>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</si>
  <si>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</si>
  <si>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</si>
  <si>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</si>
  <si>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</si>
  <si>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</si>
  <si>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</si>
  <si>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</si>
  <si>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</si>
  <si>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</si>
  <si>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</si>
  <si>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</si>
  <si>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</si>
  <si>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</si>
  <si>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</si>
  <si>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</si>
  <si>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</si>
  <si>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</si>
  <si>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</si>
  <si>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</si>
  <si>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</si>
  <si>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</si>
  <si>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</si>
  <si>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</si>
  <si>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</si>
  <si>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</si>
  <si>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</si>
  <si>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</si>
  <si>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</si>
  <si>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</si>
  <si>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</si>
  <si>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</si>
  <si>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</si>
  <si>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</si>
  <si>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</si>
  <si>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</si>
  <si>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</si>
  <si>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</si>
  <si>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</si>
  <si>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</si>
  <si>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</si>
  <si>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</si>
  <si>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</si>
  <si>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</si>
  <si>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</si>
  <si>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</si>
  <si>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</si>
  <si>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</si>
  <si>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</si>
  <si>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</si>
  <si>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</si>
  <si>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</si>
  <si>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</si>
  <si>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</si>
  <si>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</si>
  <si>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</si>
  <si>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</si>
  <si>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</si>
  <si>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</si>
  <si>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</si>
  <si>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</si>
  <si>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</si>
  <si>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</si>
  <si>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</si>
  <si>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</si>
  <si>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</si>
  <si>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</si>
  <si>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</si>
  <si>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</si>
  <si>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</si>
  <si>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</si>
  <si>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</si>
  <si>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</si>
  <si>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</si>
  <si>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</si>
  <si>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</si>
  <si>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</si>
  <si>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</si>
  <si>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</si>
  <si>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</si>
  <si>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</si>
  <si>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</si>
  <si>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</si>
  <si>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</si>
  <si>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</si>
  <si>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</si>
  <si>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</si>
  <si>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</si>
  <si>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</si>
  <si>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</si>
  <si>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</si>
  <si>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</si>
  <si>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</si>
  <si>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</si>
  <si>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</si>
  <si>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</si>
  <si>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</si>
  <si>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</si>
  <si>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</si>
  <si>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</si>
  <si>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</si>
  <si>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</si>
  <si>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</si>
  <si>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</si>
  <si>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</si>
  <si>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</si>
  <si>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</si>
  <si>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</si>
  <si>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</si>
  <si>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</si>
  <si>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</si>
  <si>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</si>
  <si>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</si>
  <si>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</si>
  <si>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</si>
  <si>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</si>
  <si>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</si>
  <si>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</si>
  <si>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</si>
  <si>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</si>
  <si>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</si>
  <si>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</si>
  <si>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</si>
  <si>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</si>
  <si>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</si>
  <si>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</si>
  <si>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</si>
  <si>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</si>
  <si>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</si>
  <si>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</si>
  <si>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</si>
  <si>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</si>
  <si>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</si>
  <si>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</si>
  <si>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</si>
  <si>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</si>
  <si>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</si>
  <si>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</si>
  <si>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</si>
  <si>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</si>
  <si>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</si>
  <si>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</si>
  <si>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</si>
  <si>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</si>
  <si>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</si>
  <si>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</si>
  <si>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</si>
  <si>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</si>
  <si>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</si>
  <si>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</si>
  <si>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</si>
  <si>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</si>
  <si>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</si>
  <si>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</si>
  <si>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</si>
  <si>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</si>
  <si>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</si>
  <si>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</si>
  <si>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</si>
  <si>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</si>
  <si>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</si>
  <si>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</si>
  <si>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</si>
  <si>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</si>
  <si>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</si>
  <si>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</si>
  <si>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</si>
  <si>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</si>
  <si>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</si>
  <si>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</si>
  <si>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</si>
  <si>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</si>
  <si>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</si>
  <si>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</si>
  <si>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</si>
  <si>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</si>
  <si>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</si>
  <si>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</si>
  <si>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</si>
  <si>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</si>
  <si>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</si>
  <si>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</si>
  <si>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</si>
  <si>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</si>
  <si>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</si>
  <si>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</si>
  <si>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</si>
  <si>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</si>
  <si>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</si>
  <si>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</si>
  <si>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</si>
  <si>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</si>
  <si>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</si>
  <si>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</si>
  <si>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</si>
  <si>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</si>
  <si>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</si>
  <si>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</si>
  <si>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</si>
  <si>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</si>
  <si>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</si>
  <si>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</si>
  <si>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</si>
  <si>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</si>
  <si>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</si>
  <si>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</si>
  <si>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</si>
  <si>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</si>
  <si>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</si>
  <si>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</si>
  <si>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</si>
  <si>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</si>
  <si>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</si>
  <si>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</si>
  <si>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</si>
  <si>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</si>
  <si>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</si>
  <si>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</si>
  <si>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</si>
  <si>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</si>
  <si>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</si>
  <si>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</si>
  <si>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</si>
  <si>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</si>
  <si>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</si>
  <si>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</si>
  <si>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</si>
  <si>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</si>
  <si>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</si>
  <si>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</si>
  <si>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</si>
  <si>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</si>
  <si>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</si>
  <si>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</si>
  <si>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</si>
  <si>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</si>
  <si>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</si>
  <si>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</si>
  <si>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</si>
  <si>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</si>
  <si>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</si>
  <si>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</si>
  <si>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</si>
  <si>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</si>
  <si>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</si>
  <si>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</si>
  <si>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</si>
  <si>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</si>
  <si>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</si>
  <si>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</si>
  <si>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</si>
  <si>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</si>
  <si>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</si>
  <si>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</si>
  <si>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</si>
  <si>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</si>
  <si>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</si>
  <si>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</si>
  <si>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</si>
  <si>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</si>
  <si>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</si>
  <si>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</si>
  <si>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</si>
  <si>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</si>
  <si>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</si>
  <si>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</si>
  <si>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</si>
  <si>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</si>
  <si>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</si>
  <si>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</si>
  <si>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</si>
  <si>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</si>
  <si>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</si>
  <si>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</si>
  <si>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</si>
  <si>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</si>
  <si>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</si>
  <si>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</si>
  <si>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</si>
  <si>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</si>
  <si>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</si>
  <si>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</si>
  <si>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</si>
  <si>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</si>
  <si>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</si>
  <si>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</si>
  <si>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</si>
  <si>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</si>
  <si>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</si>
  <si>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</si>
  <si>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</si>
  <si>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</si>
  <si>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</si>
  <si>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</si>
  <si>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</si>
  <si>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</si>
  <si>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</si>
  <si>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</si>
  <si>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</si>
  <si>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</si>
  <si>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</si>
  <si>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</si>
  <si>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</si>
  <si>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</si>
  <si>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</si>
  <si>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</si>
  <si>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</si>
  <si>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</si>
  <si>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</si>
  <si>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</si>
  <si>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</si>
  <si>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</si>
  <si>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</si>
  <si>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</si>
  <si>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</si>
  <si>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</si>
  <si>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</si>
  <si>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</si>
  <si>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</si>
  <si>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</si>
  <si>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</si>
  <si>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</si>
  <si>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</si>
  <si>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</si>
  <si>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</si>
  <si>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</si>
  <si>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</si>
  <si>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</si>
  <si>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</si>
  <si>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</si>
  <si>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</si>
  <si>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</si>
  <si>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</si>
  <si>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</si>
  <si>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</si>
  <si>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</si>
  <si>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</si>
  <si>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</si>
  <si>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</si>
  <si>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</si>
  <si>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</si>
  <si>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</si>
  <si>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</si>
  <si>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</si>
  <si>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</si>
  <si>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</si>
  <si>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</si>
  <si>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</si>
  <si>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</si>
  <si>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</si>
  <si>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</si>
  <si>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</si>
  <si>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</si>
  <si>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</si>
  <si>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</si>
  <si>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</si>
  <si>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</si>
  <si>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</si>
  <si>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</si>
  <si>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</si>
  <si>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</si>
  <si>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</si>
  <si>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</si>
  <si>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</si>
  <si>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</si>
  <si>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</si>
  <si>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</si>
  <si>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</si>
  <si>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</si>
  <si>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</si>
  <si>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</si>
  <si>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</si>
  <si>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</si>
  <si>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</si>
  <si>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</si>
  <si>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</si>
  <si>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</si>
  <si>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</si>
  <si>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</si>
  <si>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</si>
  <si>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</si>
  <si>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</si>
  <si>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</si>
  <si>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</si>
  <si>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</si>
  <si>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</si>
  <si>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</si>
  <si>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</si>
  <si>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</si>
  <si>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</si>
  <si>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</si>
  <si>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</si>
  <si>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</si>
  <si>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</si>
  <si>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</si>
  <si>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</si>
  <si>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</si>
  <si>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</si>
  <si>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</si>
  <si>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</si>
  <si>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</si>
  <si>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</si>
  <si>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</si>
  <si>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</si>
  <si>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</si>
  <si>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</si>
  <si>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</si>
  <si>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</si>
  <si>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</si>
  <si>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</si>
  <si>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</si>
  <si>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</si>
  <si>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</si>
  <si>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</si>
  <si>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</si>
  <si>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</si>
  <si>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</si>
  <si>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</si>
  <si>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</si>
  <si>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</si>
  <si>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</si>
  <si>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</si>
  <si>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</si>
  <si>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</si>
  <si>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</si>
  <si>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</si>
  <si>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</si>
  <si>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</si>
  <si>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</si>
  <si>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</si>
  <si>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</si>
  <si>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</si>
  <si>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</si>
  <si>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</si>
  <si>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</si>
  <si>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</si>
  <si>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</si>
  <si>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</si>
  <si>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</si>
  <si>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</si>
  <si>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</si>
  <si>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</si>
  <si>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</si>
  <si>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</si>
  <si>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</si>
  <si>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</si>
  <si>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</si>
  <si>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</si>
  <si>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</si>
  <si>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</si>
  <si>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</si>
  <si>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</si>
  <si>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</si>
  <si>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</si>
  <si>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</si>
  <si>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</si>
  <si>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</si>
  <si>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</si>
  <si>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</si>
  <si>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</si>
  <si>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</si>
  <si>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</si>
  <si>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</si>
  <si>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</si>
  <si>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</si>
  <si>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</si>
  <si>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</si>
  <si>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</si>
  <si>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</si>
  <si>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</si>
  <si>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</si>
  <si>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</si>
  <si>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</si>
  <si>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</si>
  <si>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</si>
  <si>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</si>
  <si>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</si>
  <si>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</si>
  <si>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</si>
  <si>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</si>
  <si>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</si>
  <si>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</si>
  <si>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</si>
  <si>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</si>
  <si>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</si>
  <si>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</si>
  <si>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</si>
  <si>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</si>
  <si>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</si>
  <si>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</si>
  <si>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</si>
  <si>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</si>
  <si>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</si>
  <si>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</si>
  <si>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</si>
  <si>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</si>
  <si>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</si>
  <si>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</si>
  <si>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</si>
  <si>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</si>
  <si>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</si>
  <si>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</si>
  <si>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</si>
  <si>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</si>
  <si>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</si>
  <si>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</si>
  <si>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</si>
  <si>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</si>
  <si>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</si>
  <si>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</si>
  <si>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</si>
  <si>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</si>
  <si>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</si>
  <si>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</si>
  <si>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</si>
  <si>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</si>
  <si>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</si>
  <si>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</si>
  <si>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</si>
  <si>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</si>
  <si>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</si>
  <si>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</si>
  <si>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</si>
  <si>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</si>
  <si>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</si>
  <si>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</si>
  <si>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</si>
  <si>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</si>
  <si>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</si>
  <si>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</si>
  <si>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</si>
  <si>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</si>
  <si>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</si>
  <si>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</si>
  <si>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</si>
  <si>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</si>
  <si>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</si>
  <si>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</si>
  <si>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</si>
  <si>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</si>
  <si>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</si>
  <si>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</si>
  <si>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</si>
  <si>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</si>
  <si>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</si>
  <si>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</si>
  <si>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</si>
  <si>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</si>
  <si>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</si>
  <si>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</si>
  <si>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</si>
  <si>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</si>
  <si>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</si>
  <si>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</si>
  <si>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</si>
  <si>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</si>
  <si>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</si>
  <si>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</si>
  <si>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</si>
  <si>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</si>
  <si>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</si>
  <si>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</si>
  <si>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</si>
  <si>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</si>
  <si>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</si>
  <si>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</si>
  <si>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</si>
  <si>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</si>
  <si>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</si>
  <si>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</si>
  <si>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</si>
  <si>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</si>
  <si>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</si>
  <si>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</si>
  <si>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</si>
  <si>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</si>
  <si>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</si>
  <si>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</si>
  <si>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</si>
  <si>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</si>
  <si>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</si>
  <si>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</si>
  <si>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</si>
  <si>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</si>
  <si>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</si>
  <si>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</si>
  <si>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</si>
  <si>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</si>
  <si>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</si>
  <si>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</si>
  <si>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</si>
  <si>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</si>
  <si>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</si>
  <si>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</si>
  <si>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</si>
  <si>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</si>
  <si>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</si>
  <si>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</si>
  <si>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</si>
  <si>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</si>
  <si>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</si>
  <si>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</si>
  <si>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</si>
  <si>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</si>
  <si>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</si>
  <si>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</si>
  <si>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</si>
  <si>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</si>
  <si>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</si>
  <si>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</si>
  <si>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</si>
  <si>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</si>
  <si>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</si>
  <si>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</si>
  <si>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</si>
  <si>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</si>
  <si>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</si>
  <si>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</si>
  <si>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</si>
  <si>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</si>
  <si>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</si>
  <si>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</si>
  <si>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</si>
  <si>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</si>
  <si>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</si>
  <si>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</si>
  <si>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</si>
  <si>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</si>
  <si>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</si>
  <si>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</si>
  <si>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</si>
  <si>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</si>
  <si>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</si>
  <si>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</si>
  <si>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</si>
  <si>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</si>
  <si>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</si>
  <si>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</si>
  <si>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</si>
  <si>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</si>
  <si>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</si>
  <si>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</si>
  <si>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</si>
  <si>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</si>
  <si>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</si>
  <si>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</si>
  <si>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</si>
  <si>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</si>
  <si>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</si>
  <si>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</si>
  <si>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</si>
  <si>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</si>
  <si>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</si>
  <si>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</si>
  <si>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</si>
  <si>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</si>
  <si>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</si>
  <si>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</si>
  <si>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</si>
  <si>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</si>
  <si>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</si>
  <si>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</si>
  <si>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</si>
  <si>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</si>
  <si>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</si>
  <si>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</si>
  <si>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</si>
  <si>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</si>
  <si>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</si>
  <si>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</si>
  <si>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</si>
  <si>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</si>
  <si>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</si>
  <si>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</si>
  <si>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</si>
  <si>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</si>
  <si>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</si>
  <si>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</si>
  <si>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</si>
  <si>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</si>
  <si>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</si>
  <si>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</si>
  <si>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</si>
  <si>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</si>
  <si>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</si>
  <si>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</si>
  <si>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</si>
  <si>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</si>
  <si>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</si>
  <si>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</si>
  <si>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</si>
  <si>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</si>
  <si>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</si>
  <si>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</si>
  <si>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</si>
  <si>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</si>
  <si>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</si>
  <si>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</si>
  <si>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</si>
  <si>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</si>
  <si>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</si>
  <si>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</si>
  <si>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</si>
  <si>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</si>
  <si>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</si>
  <si>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</si>
  <si>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</si>
  <si>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</si>
  <si>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</si>
  <si>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</si>
  <si>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</si>
  <si>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</si>
  <si>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</si>
  <si>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</si>
  <si>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</si>
  <si>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</si>
  <si>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</si>
  <si>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</si>
  <si>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</si>
  <si>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</si>
  <si>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</si>
  <si>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</si>
  <si>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</si>
  <si>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</si>
  <si>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</si>
  <si>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</si>
  <si>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</si>
  <si>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</si>
  <si>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</si>
  <si>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</si>
  <si>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</si>
  <si>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</si>
  <si>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</si>
  <si>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</si>
  <si>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</si>
  <si>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</si>
  <si>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</si>
  <si>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</si>
  <si>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</si>
  <si>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</si>
  <si>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</si>
  <si>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</si>
  <si>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</si>
  <si>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</si>
  <si>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</si>
  <si>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</si>
  <si>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</si>
  <si>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</si>
  <si>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</si>
  <si>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</si>
  <si>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</si>
  <si>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</si>
  <si>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</si>
  <si>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</si>
  <si>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</si>
  <si>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</si>
  <si>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</si>
  <si>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</si>
  <si>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</si>
  <si>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</si>
  <si>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</si>
  <si>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</si>
  <si>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</si>
  <si>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</si>
  <si>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</si>
  <si>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</si>
  <si>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</si>
  <si>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</si>
  <si>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</si>
  <si>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</si>
  <si>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</si>
  <si>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</si>
  <si>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</si>
  <si>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</si>
  <si>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</si>
  <si>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</si>
  <si>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</si>
  <si>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</si>
  <si>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</si>
  <si>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</si>
  <si>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</si>
  <si>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</si>
  <si>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</si>
  <si>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</si>
  <si>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</si>
  <si>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</si>
  <si>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</si>
  <si>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</si>
  <si>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</si>
  <si>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</si>
  <si>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</si>
  <si>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</si>
  <si>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</si>
  <si>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</si>
  <si>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</si>
  <si>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</si>
  <si>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</si>
  <si>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</si>
  <si>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</si>
  <si>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</si>
  <si>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</si>
  <si>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</si>
  <si>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</si>
  <si>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</si>
  <si>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</si>
  <si>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</si>
  <si>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</si>
  <si>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</si>
  <si>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</si>
  <si>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</si>
  <si>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</si>
  <si>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</si>
  <si>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</si>
  <si>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</si>
  <si>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</si>
  <si>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</si>
  <si>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</si>
  <si>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</si>
  <si>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</si>
  <si>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</si>
  <si>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</si>
  <si>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</si>
  <si>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</si>
  <si>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</si>
  <si>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</si>
  <si>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</si>
  <si>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</si>
  <si>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</si>
  <si>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</si>
  <si>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</si>
  <si>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</si>
  <si>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</si>
  <si>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</si>
  <si>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</si>
  <si>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</si>
  <si>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</si>
  <si>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</si>
  <si>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</si>
  <si>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</si>
  <si>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</si>
  <si>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</si>
  <si>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</si>
  <si>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</si>
  <si>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</si>
  <si>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</si>
  <si>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</si>
  <si>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</si>
  <si>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</si>
  <si>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</si>
  <si>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</si>
  <si>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</si>
  <si>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</si>
  <si>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</si>
  <si>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</si>
  <si>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</si>
  <si>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</si>
  <si>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</si>
  <si>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</si>
  <si>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</si>
  <si>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</si>
  <si>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</si>
  <si>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</si>
  <si>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</si>
  <si>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</si>
  <si>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</si>
  <si>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</si>
  <si>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</si>
  <si>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</si>
  <si>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</si>
  <si>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</si>
  <si>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</si>
  <si>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</si>
  <si>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</si>
  <si>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</si>
  <si>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</si>
  <si>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</si>
  <si>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</si>
  <si>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</si>
  <si>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</si>
  <si>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</si>
  <si>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</si>
  <si>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</si>
  <si>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</si>
  <si>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</si>
  <si>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</si>
  <si>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</si>
  <si>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</si>
  <si>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</si>
  <si>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</si>
  <si>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</si>
  <si>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</si>
  <si>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</si>
  <si>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</si>
  <si>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</si>
  <si>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</si>
  <si>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</si>
  <si>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</si>
  <si>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</si>
  <si>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</si>
  <si>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</si>
  <si>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</si>
  <si>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</si>
  <si>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</si>
  <si>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</si>
  <si>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</si>
  <si>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</si>
  <si>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</si>
  <si>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</si>
  <si>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</si>
  <si>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</si>
  <si>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</si>
  <si>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</si>
  <si>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</si>
  <si>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</si>
  <si>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</si>
  <si>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</si>
  <si>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</si>
  <si>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</si>
  <si>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</si>
  <si>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</si>
  <si>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</si>
  <si>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</si>
  <si>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</si>
  <si>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</si>
  <si>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</si>
  <si>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</si>
  <si>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</si>
  <si>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</si>
  <si>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</si>
  <si>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</si>
  <si>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</si>
  <si>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</si>
  <si>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</si>
  <si>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</si>
  <si>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</si>
  <si>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</si>
  <si>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</si>
  <si>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</si>
  <si>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</si>
  <si>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</si>
  <si>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</si>
  <si>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</si>
  <si>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</si>
  <si>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</si>
  <si>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</si>
  <si>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</si>
  <si>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</si>
  <si>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</si>
  <si>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</si>
  <si>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</si>
  <si>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</si>
  <si>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</si>
  <si>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</si>
  <si>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</si>
  <si>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</si>
  <si>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</si>
  <si>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</si>
  <si>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</si>
  <si>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</si>
  <si>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</si>
  <si>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</si>
  <si>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</si>
  <si>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</si>
  <si>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</si>
  <si>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</si>
  <si>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</si>
  <si>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</si>
  <si>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</si>
  <si>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</si>
  <si>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</si>
  <si>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</si>
  <si>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</si>
  <si>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</si>
  <si>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</si>
  <si>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</si>
  <si>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</si>
  <si>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</si>
  <si>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</si>
  <si>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</si>
  <si>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</si>
  <si>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</si>
  <si>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</si>
  <si>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</si>
  <si>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</si>
  <si>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</si>
  <si>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</si>
  <si>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</si>
  <si>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</si>
  <si>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</si>
  <si>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</si>
  <si>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</si>
  <si>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</si>
  <si>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</si>
  <si>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</si>
  <si>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</si>
  <si>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</si>
  <si>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</si>
  <si>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</si>
  <si>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</si>
  <si>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</si>
  <si>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</si>
  <si>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</si>
  <si>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</si>
  <si>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</si>
  <si>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</si>
  <si>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</si>
  <si>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</si>
  <si>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</si>
  <si>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</si>
  <si>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</si>
  <si>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</si>
  <si>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</si>
  <si>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</si>
  <si>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</si>
  <si>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</si>
  <si>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</si>
  <si>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</si>
  <si>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</si>
  <si>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</si>
  <si>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</si>
  <si>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</si>
  <si>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</si>
  <si>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</si>
  <si>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</si>
  <si>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</si>
  <si>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</si>
  <si>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</si>
  <si>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</si>
  <si>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</si>
  <si>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</si>
  <si>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</si>
  <si>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</si>
  <si>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</si>
  <si>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</si>
  <si>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</si>
  <si>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</si>
  <si>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</si>
  <si>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</si>
  <si>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</si>
  <si>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</si>
  <si>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</si>
  <si>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</si>
  <si>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</si>
  <si>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</si>
  <si>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</si>
  <si>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</si>
  <si>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</si>
  <si>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</si>
  <si>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</si>
  <si>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</si>
  <si>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</si>
  <si>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</si>
  <si>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</si>
  <si>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</si>
  <si>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</si>
  <si>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</si>
  <si>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</si>
  <si>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</si>
  <si>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</si>
  <si>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</si>
  <si>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</si>
  <si>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</si>
  <si>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</si>
  <si>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</si>
  <si>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</si>
  <si>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</si>
  <si>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</si>
  <si>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</si>
  <si>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</si>
  <si>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</si>
  <si>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</si>
  <si>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</si>
  <si>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</si>
  <si>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</si>
  <si>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</si>
  <si>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</si>
  <si>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</si>
  <si>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</si>
  <si>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</si>
  <si>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</si>
  <si>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</si>
  <si>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</si>
  <si>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</si>
  <si>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</si>
  <si>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</si>
  <si>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</si>
  <si>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</si>
  <si>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</si>
  <si>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</si>
  <si>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</si>
  <si>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</si>
  <si>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</si>
  <si>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</si>
  <si>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</si>
  <si>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</si>
  <si>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</si>
  <si>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</si>
  <si>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</si>
  <si>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</si>
  <si>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</si>
  <si>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</si>
  <si>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</si>
  <si>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</si>
  <si>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</si>
  <si>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</si>
  <si>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</si>
  <si>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</si>
  <si>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</si>
  <si>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</si>
  <si>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</si>
  <si>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</si>
  <si>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</si>
  <si>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</si>
  <si>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</si>
  <si>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</si>
  <si>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</si>
  <si>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</si>
  <si>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</si>
  <si>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</si>
  <si>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</si>
  <si>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</si>
  <si>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</si>
  <si>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</si>
  <si>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</si>
  <si>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</si>
  <si>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</si>
  <si>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</si>
  <si>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</si>
  <si>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</si>
  <si>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</si>
  <si>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</si>
  <si>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</si>
  <si>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</si>
  <si>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</si>
  <si>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</si>
  <si>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</si>
  <si>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</si>
  <si>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</si>
  <si>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</si>
  <si>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</si>
  <si>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</si>
  <si>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</si>
  <si>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</si>
  <si>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</si>
  <si>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</si>
  <si>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</si>
  <si>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</si>
  <si>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</si>
  <si>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</si>
  <si>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</si>
  <si>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</si>
  <si>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</si>
  <si>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</si>
  <si>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</si>
  <si>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</si>
  <si>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</si>
  <si>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</si>
  <si>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</si>
  <si>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</si>
  <si>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</si>
  <si>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</si>
  <si>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</si>
  <si>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</si>
  <si>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</si>
  <si>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</si>
  <si>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</si>
  <si>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</si>
  <si>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</si>
  <si>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</si>
  <si>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</si>
  <si>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</si>
  <si>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</si>
  <si>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</si>
  <si>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</si>
  <si>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</si>
  <si>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</si>
  <si>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</si>
  <si>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</si>
  <si>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</si>
  <si>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</si>
  <si>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</si>
  <si>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</si>
  <si>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</si>
  <si>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</si>
  <si>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</si>
  <si>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</si>
  <si>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</si>
  <si>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</si>
  <si>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</si>
  <si>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</si>
  <si>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</si>
  <si>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</si>
  <si>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</si>
  <si>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</si>
  <si>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</si>
  <si>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</si>
  <si>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</si>
  <si>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</si>
  <si>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</si>
  <si>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</si>
  <si>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</si>
  <si>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</si>
  <si>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</si>
  <si>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</si>
  <si>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</si>
  <si>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</si>
  <si>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</si>
  <si>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</si>
  <si>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</si>
  <si>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</si>
  <si>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</si>
  <si>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</si>
  <si>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</si>
  <si>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</si>
  <si>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</si>
  <si>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</si>
  <si>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</si>
  <si>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</si>
  <si>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</si>
  <si>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</si>
  <si>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</si>
  <si>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</si>
  <si>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</si>
  <si>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</si>
  <si>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</si>
  <si>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</si>
  <si>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</si>
  <si>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</si>
  <si>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</si>
  <si>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</si>
  <si>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</si>
  <si>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</si>
  <si>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</si>
  <si>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</si>
  <si>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</si>
  <si>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</si>
  <si>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</si>
  <si>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</si>
  <si>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</si>
  <si>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</si>
  <si>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</si>
  <si>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</si>
  <si>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</si>
  <si>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</si>
  <si>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</si>
  <si>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</si>
  <si>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</si>
  <si>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</si>
  <si>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</si>
  <si>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</si>
  <si>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</si>
  <si>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</si>
  <si>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</si>
  <si>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</si>
  <si>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</si>
  <si>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</si>
  <si>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</si>
  <si>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</si>
  <si>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</si>
  <si>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</si>
  <si>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</si>
  <si>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</si>
  <si>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</si>
  <si>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</si>
  <si>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</si>
  <si>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</si>
  <si>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</si>
  <si>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</si>
  <si>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</si>
  <si>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</si>
  <si>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</si>
  <si>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</si>
  <si>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</si>
  <si>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</si>
  <si>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</si>
  <si>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</si>
  <si>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</si>
  <si>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</si>
  <si>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</si>
  <si>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</si>
  <si>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</si>
  <si>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</si>
  <si>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</si>
  <si>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</si>
  <si>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</si>
  <si>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</si>
  <si>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</si>
  <si>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</si>
  <si>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</si>
  <si>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</si>
  <si>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</si>
  <si>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</si>
  <si>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</si>
  <si>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</si>
  <si>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</si>
  <si>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</si>
  <si>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</si>
  <si>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</si>
  <si>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</si>
  <si>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</si>
  <si>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</si>
  <si>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</si>
  <si>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</si>
  <si>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</si>
  <si>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</si>
  <si>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</si>
  <si>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</si>
  <si>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</si>
  <si>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</si>
  <si>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</si>
  <si>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</si>
  <si>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</si>
  <si>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</si>
  <si>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</si>
  <si>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</si>
  <si>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</si>
  <si>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</si>
  <si>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</si>
  <si>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</si>
  <si>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</si>
  <si>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</si>
  <si>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</si>
  <si>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</si>
  <si>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</si>
  <si>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</si>
  <si>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</si>
  <si>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</si>
  <si>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</si>
  <si>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</si>
  <si>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</si>
  <si>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</si>
  <si>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</si>
  <si>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</si>
  <si>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</si>
  <si>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</si>
  <si>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</si>
  <si>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</si>
  <si>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</si>
  <si>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</si>
  <si>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</si>
  <si>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</si>
  <si>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</si>
  <si>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</si>
  <si>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</si>
  <si>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</si>
  <si>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</si>
  <si>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</si>
  <si>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</si>
  <si>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</si>
  <si>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</si>
  <si>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</si>
  <si>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</si>
  <si>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</si>
  <si>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</si>
  <si>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</si>
  <si>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</si>
  <si>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</si>
  <si>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</si>
  <si>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</si>
  <si>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</si>
  <si>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</si>
  <si>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</si>
  <si>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</si>
  <si>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</si>
  <si>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</si>
  <si>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</si>
  <si>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</si>
  <si>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</si>
  <si>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</si>
  <si>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</si>
  <si>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</si>
  <si>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</si>
  <si>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</si>
  <si>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</si>
  <si>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</si>
  <si>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</si>
  <si>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</si>
  <si>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</si>
  <si>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</si>
  <si>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</si>
  <si>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</si>
  <si>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</si>
  <si>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</si>
  <si>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</si>
  <si>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</si>
  <si>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</si>
  <si>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</si>
  <si>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</si>
  <si>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</si>
  <si>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</si>
  <si>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</si>
  <si>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</si>
  <si>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</si>
  <si>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</si>
  <si>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</si>
  <si>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</si>
  <si>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</si>
  <si>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</si>
  <si>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</si>
  <si>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</si>
  <si>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</si>
  <si>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</si>
  <si>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</si>
  <si>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</si>
  <si>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</si>
  <si>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</si>
  <si>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</si>
  <si>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</si>
  <si>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</si>
  <si>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</si>
  <si>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</si>
  <si>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</si>
  <si>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</si>
  <si>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</si>
  <si>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</si>
  <si>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</si>
  <si>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</si>
  <si>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</si>
  <si>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</si>
  <si>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</si>
  <si>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</si>
  <si>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</si>
  <si>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</si>
  <si>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</si>
  <si>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</si>
  <si>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</si>
  <si>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</si>
  <si>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</si>
  <si>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</si>
  <si>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</si>
  <si>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</si>
  <si>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</si>
  <si>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</si>
  <si>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</si>
  <si>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</si>
  <si>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</si>
  <si>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</si>
  <si>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</si>
  <si>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</si>
  <si>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</si>
  <si>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</si>
  <si>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</si>
  <si>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</si>
  <si>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</si>
  <si>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</si>
  <si>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</si>
  <si>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</si>
  <si>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</si>
  <si>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</si>
  <si>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</si>
  <si>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</si>
  <si>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</si>
  <si>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</si>
  <si>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</si>
  <si>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</si>
  <si>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</si>
  <si>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</si>
  <si>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</si>
  <si>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</si>
  <si>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</si>
  <si>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</si>
  <si>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</si>
  <si>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</si>
  <si>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</si>
  <si>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</si>
  <si>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</si>
  <si>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</si>
  <si>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</si>
  <si>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</si>
  <si>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</si>
  <si>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</si>
  <si>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</si>
  <si>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</si>
  <si>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</si>
  <si>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</si>
  <si>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</si>
  <si>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</si>
  <si>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</si>
  <si>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</si>
  <si>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</si>
  <si>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</si>
  <si>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</si>
  <si>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</si>
  <si>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</si>
  <si>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</si>
  <si>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</si>
  <si>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</si>
  <si>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</si>
  <si>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</si>
  <si>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</si>
  <si>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</si>
  <si>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</si>
  <si>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</si>
  <si>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</si>
  <si>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</si>
  <si>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</si>
  <si>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</si>
  <si>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</si>
  <si>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</si>
  <si>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</si>
  <si>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</si>
  <si>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</si>
  <si>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</si>
  <si>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</si>
  <si>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</si>
  <si>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</si>
  <si>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</si>
  <si>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</si>
  <si>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</si>
  <si>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</si>
  <si>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</si>
  <si>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</si>
  <si>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</si>
  <si>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</si>
  <si>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</si>
  <si>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</si>
  <si>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</si>
  <si>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</si>
  <si>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</si>
  <si>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</si>
  <si>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</si>
  <si>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</si>
  <si>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</si>
  <si>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</si>
  <si>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</si>
  <si>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</si>
  <si>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</si>
  <si>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</si>
  <si>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</si>
  <si>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</si>
  <si>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</si>
  <si>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</si>
  <si>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</si>
  <si>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</si>
  <si>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</si>
  <si>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</si>
  <si>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</si>
  <si>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</si>
  <si>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</si>
  <si>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</si>
  <si>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</si>
  <si>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</si>
  <si>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</si>
  <si>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</si>
  <si>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</si>
  <si>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</si>
  <si>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</si>
  <si>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</si>
  <si>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</si>
  <si>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</si>
  <si>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</si>
  <si>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</si>
  <si>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</si>
  <si>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</si>
  <si>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</si>
  <si>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</si>
  <si>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</si>
  <si>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</si>
  <si>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</si>
  <si>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</si>
  <si>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</si>
  <si>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</si>
  <si>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</si>
  <si>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</si>
  <si>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</si>
  <si>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</si>
  <si>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</si>
  <si>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</si>
  <si>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</si>
  <si>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</si>
  <si>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</si>
  <si>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</si>
  <si>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</si>
  <si>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</si>
  <si>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</si>
  <si>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</si>
  <si>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</si>
  <si>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</si>
  <si>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</si>
  <si>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</si>
  <si>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</si>
  <si>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</si>
  <si>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</si>
  <si>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</si>
  <si>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</si>
  <si>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</si>
  <si>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</si>
  <si>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</si>
  <si>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</si>
  <si>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</si>
  <si>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</si>
  <si>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</si>
  <si>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</si>
  <si>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</si>
  <si>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</si>
  <si>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</si>
  <si>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</si>
  <si>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</si>
  <si>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</si>
  <si>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</si>
  <si>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</si>
  <si>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</si>
  <si>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</si>
  <si>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</si>
  <si>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</si>
  <si>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</si>
  <si>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</si>
  <si>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</si>
  <si>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</si>
  <si>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</si>
  <si>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</si>
  <si>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</si>
  <si>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</si>
  <si>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</si>
  <si>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</si>
  <si>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</si>
  <si>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</si>
  <si>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</si>
  <si>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</si>
  <si>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</si>
  <si>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</si>
  <si>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</si>
  <si>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</si>
  <si>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</si>
  <si>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</si>
  <si>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</si>
  <si>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</si>
  <si>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</si>
  <si>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</si>
  <si>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</si>
  <si>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</si>
  <si>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</si>
  <si>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</si>
  <si>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</si>
  <si>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</si>
  <si>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</si>
  <si>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</si>
  <si>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</si>
  <si>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</si>
  <si>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</si>
  <si>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</si>
  <si>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</si>
  <si>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</si>
  <si>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</si>
  <si>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</si>
  <si>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</si>
  <si>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</si>
  <si>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</si>
  <si>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</si>
  <si>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</si>
  <si>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</si>
  <si>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</si>
  <si>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</si>
  <si>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</si>
  <si>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</si>
  <si>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</si>
  <si>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</si>
  <si>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</si>
  <si>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</si>
  <si>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</si>
  <si>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</si>
  <si>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</si>
  <si>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</si>
  <si>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</si>
  <si>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</si>
  <si>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</si>
  <si>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</si>
  <si>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</si>
  <si>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</si>
  <si>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</si>
  <si>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</si>
  <si>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</si>
  <si>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</si>
  <si>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</si>
  <si>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</si>
  <si>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</si>
  <si>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</si>
  <si>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</si>
  <si>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</si>
  <si>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</si>
  <si>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</si>
  <si>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</si>
  <si>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</si>
  <si>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</si>
  <si>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</si>
  <si>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</si>
  <si>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</si>
  <si>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</si>
  <si>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</si>
  <si>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</si>
  <si>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</si>
  <si>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</si>
  <si>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</si>
  <si>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</si>
  <si>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</si>
  <si>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</si>
  <si>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</si>
  <si>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</si>
  <si>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</si>
  <si>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</si>
  <si>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</si>
  <si>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</si>
  <si>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</si>
  <si>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</si>
  <si>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</si>
  <si>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</si>
  <si>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</si>
  <si>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</si>
  <si>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</si>
  <si>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</si>
  <si>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</si>
  <si>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</si>
  <si>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</si>
  <si>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</si>
  <si>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</si>
  <si>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</si>
  <si>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</si>
  <si>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</si>
  <si>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</si>
  <si>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</si>
  <si>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</si>
  <si>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</si>
  <si>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</si>
  <si>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</si>
  <si>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</si>
  <si>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</si>
  <si>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</si>
  <si>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</si>
  <si>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</si>
  <si>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</si>
  <si>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</si>
  <si>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</si>
  <si>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</si>
  <si>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</si>
  <si>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</si>
  <si>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</si>
  <si>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</si>
  <si>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</si>
  <si>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</si>
  <si>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</si>
  <si>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</si>
  <si>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</si>
  <si>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</si>
  <si>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</si>
  <si>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</si>
  <si>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</si>
  <si>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</si>
  <si>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</si>
  <si>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</si>
  <si>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</si>
  <si>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</si>
  <si>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</si>
  <si>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</si>
  <si>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</si>
  <si>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</si>
  <si>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</si>
  <si>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</si>
  <si>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</si>
  <si>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</si>
  <si>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</si>
  <si>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</si>
  <si>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</si>
  <si>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</si>
  <si>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</si>
  <si>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</si>
  <si>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</si>
  <si>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</si>
  <si>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</si>
  <si>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</si>
  <si>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</si>
  <si>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</si>
  <si>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</si>
  <si>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</si>
  <si>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</si>
  <si>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</si>
  <si>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</si>
  <si>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</si>
  <si>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</si>
  <si>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</si>
  <si>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</si>
  <si>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</si>
  <si>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</si>
  <si>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</si>
  <si>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</si>
  <si>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</si>
  <si>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</si>
  <si>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</si>
  <si>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</si>
  <si>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</si>
  <si>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</si>
  <si>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</si>
  <si>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</si>
  <si>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</si>
  <si>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</si>
  <si>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</si>
  <si>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</si>
  <si>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</si>
  <si>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</si>
  <si>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</si>
  <si>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</si>
  <si>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</si>
  <si>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</si>
  <si>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</si>
  <si>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</si>
  <si>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</si>
  <si>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</si>
  <si>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</si>
  <si>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</si>
  <si>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</si>
  <si>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</si>
  <si>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</si>
  <si>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</si>
  <si>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</si>
  <si>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</si>
  <si>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</si>
  <si>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</si>
  <si>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</si>
  <si>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</si>
  <si>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</si>
  <si>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</si>
  <si>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</si>
  <si>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</si>
  <si>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</si>
  <si>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</si>
  <si>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</si>
  <si>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</si>
  <si>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</si>
  <si>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</si>
  <si>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</si>
  <si>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</si>
  <si>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</si>
  <si>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</si>
  <si>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</si>
  <si>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</si>
  <si>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</si>
  <si>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</si>
  <si>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</si>
  <si>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</si>
  <si>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</si>
  <si>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</si>
  <si>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</si>
  <si>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</si>
  <si>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</si>
  <si>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</si>
  <si>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</si>
  <si>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</si>
  <si>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</si>
  <si>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</si>
  <si>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</si>
  <si>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</si>
  <si>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</si>
  <si>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</si>
  <si>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</si>
  <si>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</si>
  <si>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</si>
  <si>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</si>
  <si>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</si>
  <si>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</si>
  <si>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</si>
  <si>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</si>
  <si>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</si>
  <si>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</si>
  <si>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</si>
  <si>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</si>
  <si>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</si>
  <si>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</si>
  <si>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</si>
  <si>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</si>
  <si>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</si>
  <si>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</si>
  <si>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</si>
  <si>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</si>
  <si>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</si>
  <si>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</si>
  <si>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</si>
  <si>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</si>
  <si>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</si>
  <si>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</si>
  <si>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</si>
  <si>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</si>
  <si>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</si>
  <si>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</si>
  <si>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</si>
  <si>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</si>
  <si>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</si>
  <si>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</si>
  <si>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</si>
  <si>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</si>
  <si>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</si>
  <si>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</si>
  <si>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</si>
  <si>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</si>
  <si>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</si>
  <si>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</si>
  <si>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</si>
  <si>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</si>
  <si>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</si>
  <si>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</si>
  <si>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</si>
  <si>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</si>
  <si>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</si>
  <si>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</si>
  <si>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</si>
  <si>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</si>
  <si>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</si>
  <si>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</si>
  <si>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</si>
  <si>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</si>
  <si>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</si>
  <si>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</si>
  <si>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</si>
  <si>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</si>
  <si>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</si>
  <si>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</si>
  <si>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</si>
  <si>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</si>
  <si>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</si>
  <si>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</si>
  <si>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</si>
  <si>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</si>
  <si>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</si>
  <si>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</si>
  <si>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</si>
  <si>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</si>
  <si>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</si>
  <si>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</si>
  <si>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</si>
  <si>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</si>
  <si>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</si>
  <si>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</si>
  <si>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</si>
  <si>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</si>
  <si>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</si>
  <si>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</si>
  <si>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</si>
  <si>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</si>
  <si>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</si>
  <si>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</si>
  <si>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</si>
  <si>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</si>
  <si>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</si>
  <si>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</si>
  <si>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</si>
  <si>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</si>
  <si>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</si>
  <si>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</si>
  <si>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</si>
  <si>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</si>
  <si>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</si>
  <si>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</si>
  <si>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</si>
  <si>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</si>
  <si>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</si>
  <si>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</si>
  <si>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</si>
  <si>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</si>
  <si>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</si>
  <si>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</si>
  <si>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</si>
  <si>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</si>
  <si>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</si>
  <si>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</si>
  <si>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</si>
  <si>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</si>
  <si>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</si>
  <si>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</si>
  <si>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</si>
  <si>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</si>
  <si>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</si>
  <si>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</si>
  <si>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</si>
  <si>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</si>
  <si>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</si>
  <si>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</si>
  <si>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</si>
  <si>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</si>
  <si>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</si>
  <si>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</si>
  <si>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</si>
  <si>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</si>
  <si>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</si>
  <si>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</si>
  <si>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</si>
  <si>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</si>
  <si>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</si>
  <si>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</si>
  <si>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</si>
  <si>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</si>
  <si>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</si>
  <si>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</si>
  <si>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</si>
  <si>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</si>
  <si>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</si>
  <si>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</si>
  <si>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</si>
  <si>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</si>
  <si>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</si>
  <si>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</si>
  <si>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</si>
  <si>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</si>
  <si>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</si>
  <si>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</si>
  <si>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</si>
  <si>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</si>
  <si>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</si>
  <si>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</si>
  <si>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</si>
  <si>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</si>
  <si>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</si>
  <si>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</si>
  <si>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</si>
  <si>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</si>
  <si>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</si>
  <si>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</si>
  <si>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</si>
  <si>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</si>
  <si>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</si>
  <si>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</si>
  <si>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</si>
  <si>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</si>
  <si>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</si>
  <si>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</si>
  <si>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</si>
  <si>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</si>
  <si>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</si>
  <si>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</si>
  <si>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</si>
  <si>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</si>
  <si>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</si>
  <si>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</si>
  <si>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</si>
  <si>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</si>
  <si>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</si>
  <si>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</si>
  <si>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</si>
  <si>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</si>
  <si>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</si>
  <si>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</si>
  <si>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</si>
  <si>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</si>
  <si>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</si>
  <si>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</si>
  <si>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</si>
  <si>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</si>
  <si>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</si>
  <si>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</si>
  <si>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</si>
  <si>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</si>
  <si>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</si>
  <si>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</si>
  <si>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</si>
  <si>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</si>
  <si>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</si>
  <si>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</si>
  <si>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</si>
  <si>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</si>
  <si>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</si>
  <si>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</si>
  <si>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</si>
  <si>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</si>
  <si>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</si>
  <si>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</si>
  <si>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</si>
  <si>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</si>
  <si>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</si>
  <si>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</si>
  <si>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</si>
  <si>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</si>
  <si>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</si>
  <si>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</si>
  <si>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</si>
  <si>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</si>
  <si>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</si>
  <si>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</si>
  <si>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</si>
  <si>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</si>
  <si>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</si>
  <si>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</si>
  <si>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</si>
  <si>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</si>
  <si>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</si>
  <si>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</si>
  <si>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</si>
  <si>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</si>
  <si>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</si>
  <si>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</si>
  <si>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</si>
  <si>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</si>
  <si>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</si>
  <si>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</si>
  <si>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</si>
  <si>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</si>
  <si>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</si>
  <si>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</si>
  <si>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</si>
  <si>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</si>
  <si>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</si>
  <si>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</si>
  <si>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</si>
  <si>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</si>
  <si>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</si>
  <si>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</si>
  <si>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</si>
  <si>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</si>
  <si>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</si>
  <si>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</si>
  <si>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</si>
  <si>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</si>
  <si>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</si>
  <si>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</si>
  <si>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</si>
  <si>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</si>
  <si>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</si>
  <si>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</si>
  <si>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</si>
  <si>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</si>
  <si>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</si>
  <si>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</si>
  <si>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</si>
  <si>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</si>
  <si>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</si>
  <si>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</si>
  <si>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</si>
  <si>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</si>
  <si>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</si>
  <si>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</si>
  <si>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</si>
  <si>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</si>
  <si>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</si>
  <si>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</si>
  <si>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</si>
  <si>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</si>
  <si>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</si>
  <si>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</si>
  <si>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</si>
  <si>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</si>
  <si>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</si>
  <si>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</si>
  <si>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</si>
  <si>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</si>
  <si>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</si>
  <si>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</si>
  <si>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</si>
  <si>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</si>
  <si>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</si>
  <si>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</si>
  <si>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</si>
  <si>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</si>
  <si>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</si>
  <si>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</si>
  <si>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</si>
  <si>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</si>
  <si>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</si>
  <si>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</si>
  <si>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</si>
  <si>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</si>
  <si>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</si>
  <si>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</si>
  <si>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</si>
  <si>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</si>
  <si>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</si>
  <si>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</si>
  <si>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</si>
  <si>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</si>
  <si>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</si>
  <si>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</si>
  <si>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</si>
  <si>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</si>
  <si>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</si>
  <si>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</si>
  <si>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</si>
  <si>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</si>
  <si>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</si>
  <si>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</si>
  <si>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</si>
  <si>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</si>
  <si>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</si>
  <si>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</si>
  <si>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</si>
  <si>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</si>
  <si>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</si>
  <si>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</si>
  <si>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</si>
  <si>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</si>
  <si>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</si>
  <si>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</si>
  <si>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</si>
  <si>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</si>
  <si>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</si>
  <si>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</si>
  <si>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</si>
  <si>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</si>
  <si>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</si>
  <si>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</si>
  <si>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</si>
  <si>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</si>
  <si>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</si>
  <si>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</si>
  <si>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</si>
  <si>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</si>
  <si>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</si>
  <si>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</si>
  <si>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</si>
  <si>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</si>
  <si>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</si>
  <si>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</si>
  <si>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</si>
  <si>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</si>
  <si>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</si>
  <si>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</si>
  <si>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</si>
  <si>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</si>
  <si>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</si>
  <si>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</si>
  <si>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</si>
  <si>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</si>
  <si>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</si>
  <si>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</si>
  <si>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</si>
  <si>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</si>
  <si>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</si>
  <si>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</si>
  <si>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</si>
  <si>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</si>
  <si>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</si>
  <si>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</si>
  <si>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</si>
  <si>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</si>
  <si>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</si>
  <si>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</si>
  <si>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</si>
  <si>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</si>
  <si>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</si>
  <si>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</si>
  <si>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</si>
  <si>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</si>
  <si>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</si>
  <si>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</si>
  <si>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</si>
  <si>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</si>
  <si>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</si>
  <si>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</si>
  <si>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</si>
  <si>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</si>
  <si>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</si>
  <si>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</si>
  <si>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</si>
  <si>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</si>
  <si>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</si>
  <si>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</si>
  <si>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</si>
  <si>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</si>
  <si>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</si>
  <si>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</si>
  <si>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</si>
  <si>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</si>
  <si>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</si>
  <si>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</si>
  <si>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</si>
  <si>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</si>
  <si>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</si>
  <si>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</si>
  <si>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</si>
  <si>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</si>
  <si>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</si>
  <si>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</si>
  <si>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</si>
  <si>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</si>
  <si>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</si>
  <si>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</si>
  <si>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</si>
  <si>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</si>
  <si>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</si>
  <si>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</si>
  <si>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</si>
  <si>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</si>
  <si>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</si>
  <si>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</si>
  <si>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</si>
  <si>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</si>
  <si>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</si>
  <si>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</si>
  <si>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</si>
  <si>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</si>
  <si>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</si>
  <si>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</si>
  <si>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</si>
  <si>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</si>
  <si>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</si>
  <si>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</si>
  <si>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</si>
  <si>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</si>
  <si>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</si>
  <si>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</si>
  <si>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</si>
  <si>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</si>
  <si>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</si>
  <si>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</si>
  <si>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</si>
  <si>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</si>
  <si>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</si>
  <si>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</si>
  <si>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</si>
  <si>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</si>
  <si>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</si>
  <si>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</si>
  <si>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</si>
  <si>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</si>
  <si>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</si>
  <si>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</si>
  <si>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</si>
  <si>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</si>
  <si>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</si>
  <si>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</si>
  <si>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</si>
  <si>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</si>
  <si>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</si>
  <si>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</si>
  <si>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</si>
  <si>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</si>
  <si>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</si>
  <si>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</si>
  <si>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</si>
  <si>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</si>
  <si>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</si>
  <si>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</si>
  <si>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</si>
  <si>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</si>
  <si>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</si>
  <si>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</si>
  <si>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</si>
  <si>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</si>
  <si>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</si>
  <si>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</si>
  <si>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</si>
  <si>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</si>
  <si>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</si>
  <si>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</si>
  <si>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</si>
  <si>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</si>
  <si>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</si>
  <si>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</si>
  <si>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</si>
  <si>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</si>
  <si>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</si>
  <si>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</si>
  <si>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</si>
  <si>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</si>
  <si>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</si>
  <si>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</si>
  <si>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</si>
  <si>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</si>
  <si>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</si>
  <si>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</si>
  <si>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</si>
  <si>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</si>
  <si>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</si>
  <si>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</si>
  <si>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</si>
  <si>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</si>
  <si>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</si>
  <si>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</si>
  <si>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</si>
  <si>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</si>
  <si>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</si>
  <si>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</si>
  <si>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</si>
  <si>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</si>
  <si>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</si>
  <si>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</si>
  <si>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</si>
  <si>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</si>
  <si>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</si>
  <si>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</si>
  <si>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</si>
  <si>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</si>
  <si>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</si>
  <si>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</si>
  <si>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</si>
  <si>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</si>
  <si>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</si>
  <si>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</si>
  <si>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</si>
  <si>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</si>
  <si>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</si>
  <si>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</si>
  <si>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</si>
  <si>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</si>
  <si>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</si>
  <si>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</si>
  <si>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</si>
  <si>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</si>
  <si>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</si>
  <si>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</si>
  <si>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</si>
  <si>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</si>
  <si>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</si>
  <si>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</si>
  <si>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</si>
  <si>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</si>
  <si>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</si>
  <si>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</si>
  <si>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</si>
  <si>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</si>
  <si>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</si>
  <si>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</si>
  <si>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</si>
  <si>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</si>
  <si>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</si>
  <si>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</si>
  <si>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</si>
  <si>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</si>
  <si>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</si>
  <si>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</si>
  <si>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</si>
  <si>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</si>
  <si>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</si>
  <si>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</si>
  <si>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</si>
  <si>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</si>
  <si>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</si>
  <si>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</si>
  <si>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</si>
  <si>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</si>
  <si>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</si>
  <si>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</si>
  <si>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</si>
  <si>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</si>
  <si>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</si>
  <si>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</si>
  <si>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</si>
  <si>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</si>
  <si>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</si>
  <si>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</si>
  <si>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</si>
  <si>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</si>
  <si>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</si>
  <si>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</si>
  <si>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</si>
  <si>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</si>
  <si>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</si>
  <si>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</si>
  <si>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</si>
  <si>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</si>
  <si>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</si>
  <si>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</si>
  <si>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</si>
  <si>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</si>
  <si>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</si>
  <si>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</si>
  <si>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</si>
  <si>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</si>
  <si>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</si>
  <si>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</si>
  <si>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</si>
  <si>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</si>
  <si>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</si>
  <si>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</si>
  <si>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</si>
  <si>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</si>
  <si>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</si>
  <si>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</si>
  <si>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</si>
  <si>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</si>
  <si>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</si>
  <si>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</si>
  <si>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</si>
  <si>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</si>
  <si>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</si>
  <si>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</si>
  <si>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</si>
  <si>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</si>
  <si>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</si>
  <si>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</si>
  <si>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</si>
  <si>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</si>
  <si>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</si>
  <si>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</si>
  <si>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</si>
  <si>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</si>
  <si>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</si>
  <si>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</si>
  <si>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</si>
  <si>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</si>
  <si>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</si>
  <si>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</si>
  <si>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</si>
  <si>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</si>
  <si>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</si>
  <si>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</si>
  <si>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</si>
  <si>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</si>
  <si>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</si>
  <si>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</si>
  <si>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</si>
  <si>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</si>
  <si>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</si>
  <si>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</si>
  <si>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</si>
  <si>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</si>
  <si>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</si>
  <si>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</si>
  <si>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</si>
  <si>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</si>
  <si>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</si>
  <si>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</si>
  <si>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</si>
  <si>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</si>
  <si>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</si>
  <si>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</si>
  <si>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</si>
  <si>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</si>
  <si>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</si>
  <si>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</si>
  <si>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</si>
  <si>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</si>
  <si>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</si>
  <si>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</si>
  <si>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</si>
  <si>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</si>
  <si>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</si>
  <si>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</si>
  <si>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</si>
  <si>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</si>
  <si>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</si>
  <si>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</si>
  <si>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</si>
  <si>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</si>
  <si>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</si>
  <si>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</si>
  <si>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</si>
  <si>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</si>
  <si>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</si>
  <si>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</si>
  <si>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</si>
  <si>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</si>
  <si>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</si>
  <si>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</si>
  <si>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</si>
  <si>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</si>
  <si>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</si>
  <si>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</si>
  <si>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</si>
  <si>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</si>
  <si>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</si>
  <si>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</si>
  <si>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</si>
  <si>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</si>
  <si>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</si>
  <si>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</si>
  <si>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</si>
  <si>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</si>
  <si>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</si>
  <si>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</si>
  <si>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</si>
  <si>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</si>
  <si>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</si>
  <si>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</si>
  <si>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</si>
  <si>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</si>
  <si>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</si>
  <si>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</si>
  <si>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</si>
  <si>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</si>
  <si>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</si>
  <si>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</si>
  <si>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</si>
  <si>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</si>
  <si>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</si>
  <si>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</si>
  <si>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</si>
  <si>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</si>
  <si>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</si>
  <si>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</si>
  <si>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</si>
  <si>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</si>
  <si>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</si>
  <si>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</si>
  <si>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</si>
  <si>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</si>
  <si>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</si>
  <si>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</si>
  <si>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</si>
  <si>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</si>
  <si>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</si>
  <si>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</si>
  <si>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</si>
  <si>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</si>
  <si>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</si>
  <si>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</si>
  <si>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</si>
  <si>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</si>
  <si>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</si>
  <si>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</si>
  <si>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</si>
  <si>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</si>
  <si>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</si>
  <si>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</si>
  <si>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</si>
  <si>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</si>
  <si>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</si>
  <si>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</si>
  <si>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</si>
  <si>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</si>
  <si>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</si>
  <si>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</si>
  <si>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</si>
  <si>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</si>
  <si>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</si>
  <si>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</si>
  <si>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</si>
  <si>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</si>
  <si>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</si>
  <si>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</si>
  <si>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</si>
  <si>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</si>
  <si>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</si>
  <si>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</si>
  <si>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</si>
  <si>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</si>
  <si>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</si>
  <si>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</si>
  <si>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</si>
  <si>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</si>
  <si>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</si>
  <si>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</si>
  <si>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</si>
  <si>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</si>
  <si>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</si>
  <si>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</si>
  <si>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</si>
  <si>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</si>
  <si>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</si>
  <si>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</si>
  <si>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</si>
  <si>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</si>
  <si>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</si>
  <si>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</si>
  <si>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</si>
  <si>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</si>
  <si>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</si>
  <si>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</si>
  <si>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</si>
  <si>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</si>
  <si>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</si>
  <si>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</si>
  <si>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</si>
  <si>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</si>
  <si>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</si>
  <si>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</si>
  <si>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</si>
  <si>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</si>
  <si>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</si>
  <si>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</si>
  <si>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</si>
  <si>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</si>
  <si>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</si>
  <si>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</si>
  <si>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</si>
  <si>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</si>
  <si>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</si>
  <si>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</si>
  <si>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</si>
  <si>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</si>
  <si>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</si>
  <si>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</si>
  <si>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</si>
  <si>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</si>
  <si>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</si>
  <si>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</si>
  <si>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</si>
  <si>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</si>
  <si>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</si>
  <si>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</si>
  <si>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</si>
  <si>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</si>
  <si>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</si>
  <si>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</si>
  <si>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</si>
  <si>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</si>
  <si>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</si>
  <si>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</si>
  <si>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</si>
  <si>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</si>
  <si>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</si>
  <si>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</si>
  <si>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</si>
  <si>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</si>
  <si>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</si>
  <si>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</si>
  <si>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</si>
  <si>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</si>
  <si>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</si>
  <si>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</si>
  <si>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</si>
  <si>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</si>
  <si>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</si>
  <si>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</si>
  <si>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</si>
  <si>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</si>
  <si>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</si>
  <si>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</si>
  <si>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</si>
  <si>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</si>
  <si>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</si>
  <si>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</si>
  <si>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</si>
  <si>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</si>
  <si>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</si>
  <si>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</si>
  <si>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</si>
  <si>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</si>
  <si>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</si>
  <si>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</si>
  <si>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</si>
  <si>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</si>
  <si>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</si>
  <si>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</si>
  <si>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</si>
  <si>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</si>
  <si>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</si>
  <si>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</si>
  <si>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</si>
  <si>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</si>
  <si>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</si>
  <si>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</si>
  <si>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</si>
  <si>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</si>
  <si>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</si>
  <si>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</si>
  <si>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</si>
  <si>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</si>
  <si>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</si>
  <si>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</si>
  <si>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</si>
  <si>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</si>
  <si>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</si>
  <si>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</si>
  <si>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</si>
  <si>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</si>
  <si>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</si>
  <si>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</si>
  <si>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</si>
  <si>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</si>
  <si>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</si>
  <si>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</si>
  <si>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</si>
  <si>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</si>
  <si>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</si>
  <si>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</si>
  <si>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</si>
  <si>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</si>
  <si>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</si>
  <si>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</si>
  <si>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</si>
  <si>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</si>
  <si>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</si>
  <si>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</si>
  <si>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</si>
  <si>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</si>
  <si>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</si>
  <si>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</si>
  <si>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</si>
  <si>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</si>
  <si>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</si>
  <si>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</si>
  <si>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</si>
  <si>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</si>
  <si>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</si>
  <si>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</si>
  <si>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</si>
  <si>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</si>
  <si>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</si>
  <si>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</si>
  <si>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</si>
  <si>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</si>
  <si>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</si>
  <si>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</si>
  <si>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</si>
  <si>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</si>
  <si>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</si>
  <si>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</si>
  <si>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</si>
  <si>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</si>
  <si>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</si>
  <si>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</si>
  <si>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</si>
  <si>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</si>
  <si>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</si>
  <si>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</si>
  <si>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</si>
  <si>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</si>
  <si>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</si>
  <si>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</si>
  <si>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</si>
  <si>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</si>
  <si>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</si>
  <si>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</si>
  <si>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</si>
  <si>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</si>
  <si>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</si>
  <si>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</si>
  <si>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</si>
  <si>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</si>
  <si>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</si>
  <si>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</si>
  <si>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</si>
  <si>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</si>
  <si>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</si>
  <si>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</si>
  <si>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</si>
  <si>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</si>
  <si>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</si>
  <si>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</si>
  <si>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</si>
  <si>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</si>
  <si>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</si>
  <si>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</si>
  <si>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</si>
  <si>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</si>
  <si>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</si>
  <si>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</si>
  <si>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</si>
  <si>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</si>
  <si>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</si>
  <si>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</si>
  <si>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</si>
  <si>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</si>
  <si>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</si>
  <si>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</si>
  <si>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</si>
  <si>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</si>
  <si>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</si>
  <si>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</si>
  <si>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</si>
  <si>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</si>
  <si>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</si>
  <si>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</si>
  <si>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</si>
  <si>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</si>
  <si>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</si>
  <si>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</si>
  <si>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</si>
  <si>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</si>
  <si>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</si>
  <si>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</si>
  <si>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</si>
  <si>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</si>
  <si>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</si>
  <si>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</si>
  <si>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</si>
  <si>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</si>
  <si>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</si>
  <si>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</si>
  <si>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</si>
  <si>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</si>
  <si>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</si>
  <si>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</si>
  <si>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</si>
  <si>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</si>
  <si>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</si>
  <si>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</si>
  <si>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</si>
  <si>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</si>
  <si>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</si>
  <si>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</si>
  <si>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</si>
  <si>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</si>
  <si>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</si>
  <si>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</si>
  <si>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</si>
  <si>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</si>
  <si>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</si>
  <si>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</si>
  <si>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</si>
  <si>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</si>
  <si>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</si>
  <si>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</si>
  <si>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</si>
  <si>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</si>
  <si>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</si>
  <si>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</si>
  <si>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</si>
  <si>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</si>
  <si>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</si>
  <si>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</si>
  <si>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</si>
  <si>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</si>
  <si>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</si>
  <si>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</si>
  <si>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</si>
  <si>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</si>
  <si>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</si>
  <si>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</si>
  <si>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</si>
  <si>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</si>
  <si>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</si>
  <si>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</si>
  <si>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</si>
  <si>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</si>
  <si>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</si>
  <si>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</si>
  <si>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</si>
  <si>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</si>
  <si>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</si>
  <si>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</si>
  <si>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</si>
  <si>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</si>
  <si>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</si>
  <si>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</si>
  <si>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</si>
  <si>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</si>
  <si>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</si>
  <si>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</si>
  <si>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</si>
  <si>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</si>
  <si>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</si>
  <si>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</si>
  <si>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</si>
  <si>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</si>
  <si>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</si>
  <si>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</si>
  <si>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</si>
  <si>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</si>
  <si>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</si>
  <si>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</si>
  <si>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</si>
  <si>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</si>
  <si>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</si>
  <si>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</si>
  <si>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</si>
  <si>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</si>
  <si>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</si>
  <si>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</si>
  <si>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</si>
  <si>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</si>
  <si>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</si>
  <si>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</si>
  <si>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</si>
  <si>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</si>
  <si>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</si>
  <si>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</si>
  <si>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</si>
  <si>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</si>
  <si>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</si>
  <si>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</si>
  <si>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</si>
  <si>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</si>
  <si>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</si>
  <si>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</si>
  <si>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</si>
  <si>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</si>
  <si>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</si>
  <si>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</si>
  <si>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</si>
  <si>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</si>
  <si>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</si>
  <si>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</si>
  <si>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</si>
  <si>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</si>
  <si>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</si>
  <si>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</si>
  <si>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</si>
  <si>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</si>
  <si>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</si>
  <si>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</si>
  <si>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</si>
  <si>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</si>
  <si>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</si>
  <si>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</si>
  <si>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</si>
  <si>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</si>
  <si>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</si>
  <si>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</si>
  <si>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</si>
  <si>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</si>
  <si>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</si>
  <si>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</si>
  <si>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</si>
  <si>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</si>
  <si>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</si>
  <si>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</si>
  <si>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</si>
  <si>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</si>
  <si>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</si>
  <si>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</si>
  <si>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</si>
  <si>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</si>
  <si>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</si>
  <si>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</si>
  <si>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</si>
  <si>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</si>
  <si>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</si>
  <si>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</si>
  <si>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</si>
  <si>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</si>
  <si>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</si>
  <si>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</si>
  <si>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</si>
  <si>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</si>
  <si>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</si>
  <si>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</si>
  <si>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</si>
  <si>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</si>
  <si>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</si>
  <si>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</si>
  <si>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</si>
  <si>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</si>
  <si>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</si>
  <si>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</si>
  <si>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</si>
  <si>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</si>
  <si>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</si>
  <si>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</si>
  <si>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</si>
  <si>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</si>
  <si>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</si>
  <si>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</si>
  <si>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</si>
  <si>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</si>
  <si>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</si>
  <si>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</si>
  <si>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</si>
  <si>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</si>
  <si>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</si>
  <si>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</si>
  <si>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</si>
  <si>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</si>
  <si>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</si>
  <si>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</si>
  <si>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</si>
  <si>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</si>
  <si>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</si>
  <si>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</si>
  <si>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</si>
  <si>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</si>
  <si>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</si>
  <si>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</si>
  <si>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</si>
  <si>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</si>
  <si>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</si>
  <si>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</si>
  <si>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</si>
  <si>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</si>
  <si>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</si>
  <si>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</si>
  <si>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</si>
  <si>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</si>
  <si>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</si>
  <si>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</si>
  <si>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</si>
  <si>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</si>
  <si>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</si>
  <si>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</si>
  <si>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</si>
  <si>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</si>
  <si>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</si>
  <si>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</si>
  <si>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</si>
  <si>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</si>
  <si>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</si>
  <si>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</si>
  <si>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</si>
  <si>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</si>
  <si>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</si>
  <si>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</si>
  <si>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</si>
  <si>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</si>
  <si>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</si>
  <si>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</si>
  <si>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</si>
  <si>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</si>
  <si>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</si>
  <si>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</si>
  <si>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</si>
  <si>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</si>
  <si>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</si>
  <si>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</si>
  <si>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</si>
  <si>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</si>
  <si>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</si>
  <si>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</si>
  <si>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</si>
  <si>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</si>
  <si>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</si>
  <si>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</si>
  <si>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</si>
  <si>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</si>
  <si>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</si>
  <si>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</si>
  <si>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</si>
  <si>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</si>
  <si>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</si>
  <si>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</si>
  <si>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</si>
  <si>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</si>
  <si>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</si>
  <si>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</si>
  <si>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</si>
  <si>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</si>
  <si>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</si>
  <si>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</si>
  <si>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</si>
  <si>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</si>
  <si>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</si>
  <si>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</si>
  <si>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</si>
  <si>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</si>
  <si>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</si>
  <si>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</si>
  <si>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</si>
  <si>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</si>
  <si>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</si>
  <si>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</si>
  <si>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</si>
  <si>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</si>
  <si>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</si>
  <si>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</si>
  <si>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</si>
  <si>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</si>
  <si>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</si>
  <si>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</si>
  <si>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</si>
  <si>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</si>
  <si>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</si>
  <si>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</si>
  <si>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</si>
  <si>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</si>
  <si>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</si>
  <si>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</si>
  <si>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</si>
  <si>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</si>
  <si>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</si>
  <si>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</si>
  <si>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</si>
  <si>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</si>
  <si>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</si>
  <si>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</si>
  <si>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</si>
  <si>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</si>
  <si>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</si>
  <si>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</si>
  <si>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</si>
  <si>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</si>
  <si>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</si>
  <si>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</si>
  <si>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</si>
  <si>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</si>
  <si>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</si>
  <si>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</si>
  <si>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</si>
  <si>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</si>
  <si>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</si>
  <si>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</si>
  <si>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</si>
  <si>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</si>
  <si>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</si>
  <si>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</si>
  <si>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</si>
  <si>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</si>
  <si>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</si>
  <si>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</si>
  <si>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</si>
  <si>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</si>
  <si>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</si>
  <si>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</si>
  <si>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</si>
  <si>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</si>
  <si>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</si>
  <si>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</si>
  <si>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</si>
  <si>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</si>
  <si>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</si>
  <si>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</si>
  <si>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</si>
  <si>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</si>
  <si>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</si>
  <si>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</si>
  <si>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</si>
  <si>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</si>
  <si>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</si>
  <si>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</si>
  <si>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</si>
  <si>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</si>
  <si>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</si>
  <si>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</si>
  <si>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</si>
  <si>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</si>
  <si>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</si>
  <si>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</si>
  <si>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</si>
  <si>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</si>
  <si>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</si>
  <si>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</si>
  <si>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</si>
  <si>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</si>
  <si>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</si>
  <si>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</si>
  <si>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</si>
  <si>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</si>
  <si>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</si>
  <si>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</si>
  <si>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</si>
  <si>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</si>
  <si>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</si>
  <si>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</si>
  <si>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</si>
  <si>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</si>
  <si>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</si>
  <si>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</si>
  <si>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</si>
  <si>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</si>
  <si>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</si>
  <si>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</si>
  <si>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</si>
  <si>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</si>
  <si>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</si>
  <si>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</si>
  <si>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</si>
  <si>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</si>
  <si>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</si>
  <si>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</si>
  <si>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</si>
  <si>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</si>
  <si>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</si>
  <si>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</si>
  <si>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</si>
  <si>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</si>
  <si>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</si>
  <si>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</si>
  <si>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</si>
  <si>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</si>
  <si>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</si>
  <si>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</si>
  <si>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</si>
  <si>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</si>
  <si>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</si>
  <si>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</si>
  <si>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</si>
  <si>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</si>
  <si>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</si>
  <si>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</si>
  <si>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</si>
  <si>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</si>
  <si>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</si>
  <si>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</si>
  <si>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</si>
  <si>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</si>
  <si>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</si>
  <si>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</si>
  <si>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</si>
  <si>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</si>
  <si>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</si>
  <si>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</si>
  <si>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</si>
  <si>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</si>
  <si>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</si>
  <si>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</si>
  <si>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</si>
  <si>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</si>
  <si>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</si>
  <si>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</si>
  <si>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</si>
  <si>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</si>
  <si>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</si>
  <si>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</si>
  <si>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</si>
  <si>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</si>
  <si>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</si>
  <si>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</si>
  <si>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</si>
  <si>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</si>
  <si>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</si>
  <si>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</si>
  <si>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</si>
  <si>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</si>
  <si>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</si>
  <si>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</si>
  <si>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</si>
  <si>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</si>
  <si>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</si>
  <si>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</si>
  <si>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</si>
  <si>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</si>
  <si>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</si>
  <si>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</si>
  <si>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</si>
  <si>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</si>
  <si>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</si>
  <si>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</si>
  <si>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</si>
  <si>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</si>
  <si>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</si>
  <si>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</si>
  <si>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</si>
  <si>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</si>
  <si>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</si>
  <si>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</si>
  <si>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</si>
  <si>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</si>
  <si>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</si>
  <si>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</si>
  <si>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</si>
  <si>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</si>
  <si>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</si>
  <si>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</si>
  <si>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</si>
  <si>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</si>
  <si>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</si>
  <si>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</si>
  <si>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</si>
  <si>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</si>
  <si>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</si>
  <si>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</si>
  <si>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</si>
  <si>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</si>
  <si>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</si>
  <si>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</si>
  <si>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</si>
  <si>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</si>
  <si>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</si>
  <si>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</si>
  <si>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</si>
  <si>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</si>
  <si>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</si>
  <si>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</si>
  <si>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</si>
  <si>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</si>
  <si>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</si>
  <si>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</si>
  <si>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</si>
  <si>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</si>
  <si>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</si>
  <si>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</si>
  <si>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</si>
  <si>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</si>
  <si>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</si>
  <si>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</si>
  <si>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</si>
  <si>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</si>
  <si>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</si>
  <si>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</si>
  <si>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</si>
  <si>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</si>
  <si>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</si>
  <si>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</si>
  <si>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</si>
  <si>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</si>
  <si>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</si>
  <si>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</si>
  <si>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</si>
  <si>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</si>
  <si>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</si>
  <si>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</si>
  <si>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</si>
  <si>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</si>
  <si>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</si>
  <si>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</si>
  <si>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</si>
  <si>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</si>
  <si>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</si>
  <si>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</si>
  <si>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</si>
  <si>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</si>
  <si>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</si>
  <si>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</si>
  <si>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</si>
  <si>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</si>
  <si>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</si>
  <si>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</si>
  <si>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</si>
  <si>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</si>
  <si>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</si>
  <si>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</si>
  <si>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</si>
  <si>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</si>
  <si>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</si>
  <si>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</si>
  <si>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</si>
  <si>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</si>
  <si>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</si>
  <si>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</si>
  <si>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</si>
  <si>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</si>
  <si>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</si>
  <si>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</si>
  <si>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</si>
  <si>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</si>
  <si>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</si>
  <si>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</si>
  <si>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</si>
  <si>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</si>
  <si>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</si>
  <si>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</si>
  <si>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</si>
  <si>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</si>
  <si>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</si>
  <si>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</si>
  <si>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</si>
  <si>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</si>
  <si>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</si>
  <si>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</si>
  <si>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</si>
  <si>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</si>
  <si>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</si>
  <si>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</si>
  <si>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</si>
  <si>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</si>
  <si>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</si>
  <si>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</si>
  <si>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</si>
  <si>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</si>
  <si>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</si>
  <si>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</si>
  <si>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</si>
  <si>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</si>
  <si>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</si>
  <si>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</si>
  <si>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</si>
  <si>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</si>
  <si>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</si>
  <si>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</si>
  <si>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</si>
  <si>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</si>
  <si>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</si>
  <si>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</si>
  <si>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</si>
  <si>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</si>
  <si>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</si>
  <si>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</si>
  <si>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</si>
  <si>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</si>
  <si>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</si>
  <si>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</si>
  <si>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</si>
  <si>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</si>
  <si>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</si>
  <si>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</si>
  <si>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</si>
  <si>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</si>
  <si>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</si>
  <si>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</si>
  <si>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</si>
  <si>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</si>
  <si>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</si>
  <si>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</si>
  <si>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</si>
  <si>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</si>
  <si>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</si>
  <si>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</si>
  <si>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</si>
  <si>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</si>
  <si>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</si>
  <si>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</si>
  <si>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</si>
  <si>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</si>
  <si>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</si>
  <si>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</si>
  <si>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</si>
  <si>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</si>
  <si>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</si>
  <si>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</si>
  <si>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</si>
  <si>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</si>
  <si>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</si>
  <si>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</si>
  <si>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</si>
  <si>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</si>
  <si>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</si>
  <si>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</si>
  <si>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</si>
  <si>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</si>
  <si>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</si>
  <si>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</si>
  <si>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</si>
  <si>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</si>
  <si>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</si>
  <si>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</si>
  <si>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</si>
  <si>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</si>
  <si>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</si>
  <si>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</si>
  <si>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</si>
  <si>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</si>
  <si>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</si>
  <si>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</si>
  <si>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</si>
  <si>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</si>
  <si>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</si>
  <si>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</si>
  <si>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</si>
  <si>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</si>
  <si>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</si>
  <si>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</si>
  <si>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</si>
  <si>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</si>
  <si>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</si>
  <si>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</si>
  <si>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</si>
  <si>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</si>
  <si>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</si>
  <si>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</si>
  <si>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</si>
  <si>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</si>
  <si>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</si>
  <si>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</si>
  <si>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</si>
  <si>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</si>
  <si>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</si>
  <si>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</si>
  <si>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</si>
  <si>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</si>
  <si>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</si>
  <si>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</si>
  <si>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</si>
  <si>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</si>
  <si>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</si>
  <si>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</si>
  <si>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</si>
  <si>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</si>
  <si>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</si>
  <si>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</si>
  <si>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</si>
  <si>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</si>
  <si>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</si>
  <si>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</si>
  <si>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</si>
  <si>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</si>
  <si>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</si>
  <si>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</si>
  <si>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</si>
  <si>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</si>
  <si>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</si>
  <si>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</si>
  <si>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</si>
  <si>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</si>
  <si>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</si>
  <si>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</si>
  <si>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</si>
  <si>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</si>
  <si>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</si>
  <si>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</si>
  <si>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</si>
  <si>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</si>
  <si>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</si>
  <si>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</si>
  <si>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</si>
  <si>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</si>
  <si>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</si>
  <si>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</si>
  <si>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</si>
  <si>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</si>
  <si>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</si>
  <si>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</si>
  <si>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</si>
  <si>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</si>
  <si>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</si>
  <si>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</si>
  <si>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</si>
  <si>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</si>
  <si>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</si>
  <si>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</si>
  <si>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</si>
  <si>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</si>
  <si>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</si>
  <si>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</si>
  <si>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</si>
  <si>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</si>
  <si>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</si>
  <si>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</si>
  <si>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</si>
  <si>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</si>
  <si>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</si>
  <si>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</si>
  <si>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</si>
  <si>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</si>
  <si>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</si>
  <si>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</si>
  <si>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</si>
  <si>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</si>
  <si>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</si>
  <si>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</si>
  <si>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</si>
  <si>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</si>
  <si>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</si>
  <si>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</si>
  <si>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</si>
  <si>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</si>
  <si>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</si>
  <si>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</si>
  <si>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</si>
  <si>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</si>
  <si>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</si>
  <si>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</si>
  <si>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</si>
  <si>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</si>
  <si>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</si>
  <si>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</si>
  <si>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</si>
  <si>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</si>
  <si>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</si>
  <si>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</si>
  <si>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</si>
  <si>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</si>
  <si>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</si>
  <si>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</si>
  <si>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</si>
  <si>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</si>
  <si>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</si>
  <si>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</si>
  <si>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</si>
  <si>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</si>
  <si>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</si>
  <si>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</si>
  <si>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</si>
  <si>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</si>
  <si>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</si>
  <si>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</si>
  <si>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</si>
  <si>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</si>
  <si>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</si>
  <si>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</si>
  <si>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</si>
  <si>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</si>
  <si>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</si>
  <si>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</si>
  <si>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</si>
  <si>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</si>
  <si>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</si>
  <si>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</si>
  <si>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</si>
  <si>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</si>
  <si>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</si>
  <si>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</si>
  <si>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</si>
  <si>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</si>
  <si>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</si>
  <si>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</si>
  <si>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</si>
  <si>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</si>
  <si>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</si>
  <si>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</si>
  <si>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</si>
  <si>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</si>
  <si>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</si>
  <si>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</si>
  <si>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</si>
  <si>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</si>
  <si>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</si>
  <si>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</si>
  <si>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</si>
  <si>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</si>
  <si>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</si>
  <si>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</si>
  <si>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</si>
  <si>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</si>
  <si>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</si>
  <si>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</si>
  <si>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</si>
  <si>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</si>
  <si>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</si>
  <si>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</si>
  <si>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</si>
  <si>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</si>
  <si>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</si>
  <si>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</si>
  <si>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</si>
  <si>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</si>
  <si>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</si>
  <si>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</si>
  <si>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</si>
  <si>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</si>
  <si>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</si>
  <si>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</si>
  <si>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</si>
  <si>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</si>
  <si>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</si>
  <si>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</si>
  <si>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</si>
  <si>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</si>
  <si>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</si>
  <si>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</si>
  <si>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</si>
  <si>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</si>
  <si>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</si>
  <si>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</si>
  <si>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</si>
  <si>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</si>
  <si>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</si>
  <si>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</si>
  <si>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</si>
  <si>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</si>
  <si>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</si>
  <si>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</si>
  <si>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</si>
  <si>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</si>
  <si>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</si>
  <si>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</si>
  <si>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</si>
  <si>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</si>
  <si>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</si>
  <si>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</si>
  <si>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</si>
  <si>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</si>
  <si>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</si>
  <si>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</si>
  <si>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</si>
  <si>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</si>
  <si>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</si>
  <si>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</si>
  <si>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</si>
  <si>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</si>
  <si>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</si>
  <si>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</si>
  <si>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</si>
  <si>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</si>
  <si>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</si>
  <si>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</si>
  <si>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</si>
  <si>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</si>
  <si>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</si>
  <si>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</si>
  <si>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</si>
  <si>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</si>
  <si>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</si>
  <si>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</si>
  <si>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</si>
  <si>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</si>
  <si>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</si>
  <si>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</si>
  <si>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</si>
  <si>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</si>
  <si>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</si>
  <si>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</si>
  <si>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</si>
  <si>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</si>
  <si>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</si>
  <si>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</si>
  <si>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</si>
  <si>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</si>
  <si>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</si>
  <si>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</si>
  <si>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</si>
  <si>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</si>
  <si>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</si>
  <si>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</si>
  <si>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</si>
  <si>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</si>
  <si>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</si>
  <si>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</si>
  <si>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</si>
  <si>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</si>
  <si>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</si>
  <si>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</si>
  <si>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</si>
  <si>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</si>
  <si>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</si>
  <si>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</si>
  <si>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</si>
  <si>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</si>
  <si>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</si>
  <si>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</si>
  <si>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</si>
  <si>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</si>
  <si>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</si>
  <si>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</si>
  <si>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</si>
  <si>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</si>
  <si>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</si>
  <si>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</si>
  <si>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</si>
  <si>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</si>
  <si>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</si>
  <si>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</si>
  <si>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</si>
  <si>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</si>
  <si>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</si>
  <si>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</si>
  <si>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</si>
  <si>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</si>
  <si>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</si>
  <si>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</si>
  <si>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</si>
  <si>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</si>
  <si>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</si>
  <si>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</si>
  <si>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</si>
  <si>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</si>
  <si>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</si>
  <si>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</si>
  <si>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</si>
  <si>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</si>
  <si>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</si>
  <si>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</si>
  <si>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</si>
  <si>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</si>
  <si>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</si>
  <si>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</si>
  <si>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</si>
  <si>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</si>
  <si>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</si>
  <si>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</si>
  <si>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</si>
  <si>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</si>
  <si>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</si>
  <si>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</si>
  <si>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</si>
  <si>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</si>
  <si>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</si>
  <si>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</si>
  <si>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</si>
  <si>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</si>
  <si>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</si>
  <si>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</si>
  <si>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</si>
  <si>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</si>
  <si>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</si>
  <si>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</si>
  <si>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</si>
  <si>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</si>
  <si>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</si>
  <si>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</si>
  <si>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</si>
  <si>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</si>
  <si>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</si>
  <si>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</si>
  <si>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</si>
  <si>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</si>
  <si>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</si>
  <si>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</si>
  <si>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</si>
  <si>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</si>
  <si>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</si>
  <si>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</si>
  <si>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</si>
  <si>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</si>
  <si>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</si>
  <si>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</si>
  <si>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</si>
  <si>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</si>
  <si>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</si>
  <si>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</si>
  <si>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</si>
  <si>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</si>
  <si>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</si>
  <si>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</si>
  <si>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</si>
  <si>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</si>
  <si>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</si>
  <si>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</si>
  <si>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</si>
  <si>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</si>
  <si>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</si>
  <si>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</si>
  <si>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</si>
  <si>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</si>
  <si>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</si>
  <si>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</si>
  <si>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</si>
  <si>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</si>
  <si>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</si>
  <si>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</si>
  <si>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</si>
  <si>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</si>
  <si>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</si>
  <si>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</si>
  <si>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</si>
  <si>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</si>
  <si>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</si>
  <si>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</si>
  <si>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</si>
  <si>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</si>
  <si>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</si>
  <si>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</si>
  <si>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</si>
  <si>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</si>
  <si>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</si>
  <si>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</si>
  <si>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</si>
  <si>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</si>
  <si>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</si>
  <si>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</si>
  <si>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</si>
  <si>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</si>
  <si>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</si>
  <si>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</si>
  <si>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</si>
  <si>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</si>
  <si>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</si>
  <si>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</si>
  <si>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</si>
  <si>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</si>
  <si>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</si>
  <si>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</si>
  <si>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</si>
  <si>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</si>
  <si>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</si>
  <si>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</si>
  <si>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</si>
  <si>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</si>
  <si>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</si>
  <si>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</si>
  <si>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</si>
  <si>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</si>
  <si>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</si>
  <si>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</si>
  <si>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</si>
  <si>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</si>
  <si>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</si>
  <si>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</si>
  <si>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</si>
  <si>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</si>
  <si>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</si>
  <si>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</si>
  <si>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</si>
  <si>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</si>
  <si>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</si>
  <si>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</si>
  <si>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</si>
  <si>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</si>
  <si>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</si>
  <si>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</si>
  <si>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</si>
  <si>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</si>
  <si>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</si>
  <si>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</si>
  <si>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</si>
  <si>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</si>
  <si>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</si>
  <si>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</si>
  <si>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</si>
  <si>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</si>
  <si>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</si>
  <si>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</si>
  <si>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</si>
  <si>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</si>
  <si>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</si>
  <si>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</si>
  <si>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</si>
  <si>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</si>
  <si>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</si>
  <si>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</si>
  <si>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</si>
  <si>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</si>
  <si>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</si>
  <si>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</si>
  <si>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</si>
  <si>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</si>
  <si>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</si>
  <si>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</si>
  <si>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</si>
  <si>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</si>
  <si>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</si>
  <si>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</si>
  <si>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</si>
  <si>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</si>
  <si>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</si>
  <si>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</si>
  <si>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</si>
  <si>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</si>
  <si>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</si>
  <si>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</si>
  <si>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</si>
  <si>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</si>
  <si>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</si>
  <si>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</si>
  <si>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</si>
  <si>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</si>
  <si>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</si>
  <si>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</si>
  <si>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</si>
  <si>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</si>
  <si>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</si>
  <si>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</si>
  <si>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</si>
  <si>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</si>
  <si>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</si>
  <si>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</si>
  <si>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</si>
  <si>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</si>
  <si>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</si>
  <si>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</si>
  <si>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</si>
  <si>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</si>
  <si>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</si>
  <si>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</si>
  <si>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</si>
  <si>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</si>
  <si>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</si>
  <si>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</si>
  <si>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</si>
  <si>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</si>
  <si>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</si>
  <si>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</si>
  <si>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</si>
  <si>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</si>
  <si>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</si>
  <si>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</si>
  <si>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</si>
  <si>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</si>
  <si>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</si>
  <si>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</si>
  <si>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</si>
  <si>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</si>
  <si>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</si>
  <si>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</si>
  <si>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</si>
  <si>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</si>
  <si>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</si>
  <si>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</si>
  <si>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</si>
  <si>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</si>
  <si>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</si>
  <si>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</si>
  <si>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</si>
  <si>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</si>
  <si>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</si>
  <si>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</si>
  <si>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</si>
  <si>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</si>
  <si>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</si>
  <si>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</si>
  <si>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</si>
  <si>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</si>
  <si>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</si>
  <si>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</si>
  <si>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</si>
  <si>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</si>
  <si>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</si>
  <si>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</si>
  <si>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</si>
  <si>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</si>
  <si>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</si>
  <si>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</si>
  <si>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</si>
  <si>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</si>
  <si>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</si>
  <si>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</si>
  <si>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</si>
  <si>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</si>
  <si>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</si>
  <si>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</si>
  <si>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</si>
  <si>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</si>
  <si>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</si>
  <si>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</si>
  <si>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</si>
  <si>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</si>
  <si>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</si>
  <si>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</si>
  <si>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</si>
  <si>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</si>
  <si>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</si>
  <si>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</si>
  <si>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</si>
  <si>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</si>
  <si>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</si>
  <si>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</si>
  <si>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</si>
  <si>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</si>
  <si>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</si>
  <si>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</si>
  <si>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</si>
  <si>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</si>
  <si>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</si>
  <si>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</si>
  <si>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</si>
  <si>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</si>
  <si>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</si>
  <si>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</si>
  <si>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</si>
  <si>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</si>
  <si>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</si>
  <si>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</si>
  <si>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</si>
  <si>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</si>
  <si>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</si>
  <si>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</si>
  <si>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</si>
  <si>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</si>
  <si>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</si>
  <si>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</si>
  <si>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</si>
  <si>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</si>
  <si>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</si>
  <si>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</si>
  <si>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</si>
  <si>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</si>
  <si>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</si>
  <si>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</si>
  <si>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</si>
  <si>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</si>
  <si>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</si>
  <si>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</si>
  <si>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</si>
  <si>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</si>
  <si>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</si>
  <si>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</si>
  <si>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</si>
  <si>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</si>
  <si>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</si>
  <si>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</si>
  <si>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</si>
  <si>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</si>
  <si>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</si>
  <si>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</si>
  <si>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</si>
  <si>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</si>
  <si>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</si>
  <si>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</si>
  <si>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</si>
  <si>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</si>
  <si>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</si>
  <si>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</si>
  <si>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</si>
  <si>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</si>
  <si>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</si>
  <si>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</si>
  <si>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</si>
  <si>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</si>
  <si>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</si>
  <si>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</si>
  <si>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</si>
  <si>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</si>
  <si>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</si>
  <si>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</si>
  <si>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</si>
  <si>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</si>
  <si>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</si>
  <si>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</si>
  <si>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</si>
  <si>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</si>
  <si>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</si>
  <si>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</si>
  <si>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</si>
  <si>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</si>
  <si>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</si>
  <si>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</si>
  <si>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</si>
  <si>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</si>
  <si>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</si>
  <si>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</si>
  <si>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</si>
  <si>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</si>
  <si>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</si>
  <si>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</si>
  <si>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</si>
  <si>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</si>
  <si>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</si>
  <si>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</si>
  <si>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</si>
  <si>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</si>
  <si>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</si>
  <si>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</si>
  <si>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</si>
  <si>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</si>
  <si>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</si>
  <si>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</si>
  <si>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</si>
  <si>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</si>
  <si>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</si>
  <si>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</si>
  <si>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</si>
  <si>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</si>
  <si>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</si>
  <si>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</si>
  <si>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</si>
  <si>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</si>
  <si>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</si>
  <si>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</si>
  <si>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</si>
  <si>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</si>
  <si>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</si>
  <si>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</si>
  <si>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</si>
  <si>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</si>
  <si>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</si>
  <si>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</si>
  <si>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</si>
  <si>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</si>
  <si>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</si>
  <si>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</si>
  <si>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</si>
  <si>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</si>
  <si>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</si>
  <si>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</si>
  <si>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</si>
  <si>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</si>
  <si>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</si>
  <si>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</si>
  <si>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</si>
  <si>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</si>
  <si>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</si>
  <si>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</si>
  <si>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</si>
  <si>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</si>
  <si>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</si>
  <si>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</si>
  <si>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</si>
  <si>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</si>
  <si>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</si>
  <si>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</si>
  <si>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</si>
  <si>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</si>
  <si>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</si>
  <si>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</si>
  <si>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</si>
  <si>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</si>
  <si>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</si>
  <si>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</si>
  <si>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</si>
  <si>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</si>
  <si>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</si>
  <si>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</si>
  <si>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</si>
  <si>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</si>
  <si>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</si>
  <si>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</si>
  <si>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</si>
  <si>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</si>
  <si>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</si>
  <si>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</si>
  <si>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</si>
  <si>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</si>
  <si>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</si>
  <si>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</si>
  <si>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</si>
  <si>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</si>
  <si>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</si>
  <si>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</si>
  <si>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</si>
  <si>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</si>
  <si>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</si>
  <si>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</si>
  <si>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</si>
  <si>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</si>
  <si>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</si>
  <si>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</si>
  <si>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</si>
  <si>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</si>
  <si>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</si>
  <si>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</si>
  <si>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</si>
  <si>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</si>
  <si>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</si>
  <si>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</si>
  <si>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</si>
  <si>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</si>
  <si>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</si>
  <si>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</si>
  <si>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</si>
  <si>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</si>
  <si>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</si>
  <si>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</si>
  <si>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</si>
  <si>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</si>
  <si>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</si>
  <si>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</si>
  <si>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</si>
  <si>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</si>
  <si>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</si>
  <si>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</si>
  <si>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</si>
  <si>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</si>
  <si>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</si>
  <si>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</si>
  <si>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</si>
  <si>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</si>
  <si>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</si>
  <si>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</si>
  <si>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</si>
  <si>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</si>
  <si>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</si>
  <si>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</si>
  <si>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</si>
  <si>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</si>
  <si>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</si>
  <si>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</si>
  <si>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</si>
  <si>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</si>
  <si>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</si>
  <si>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</si>
  <si>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</si>
  <si>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</si>
  <si>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</si>
  <si>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</si>
  <si>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</si>
  <si>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</si>
  <si>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</si>
  <si>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</si>
  <si>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</si>
  <si>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</si>
  <si>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</si>
  <si>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</si>
  <si>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</si>
  <si>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</si>
  <si>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</si>
  <si>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</si>
  <si>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</si>
  <si>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</si>
  <si>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</si>
  <si>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</si>
  <si>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</si>
  <si>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</si>
  <si>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</si>
  <si>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</si>
  <si>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</si>
  <si>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</si>
  <si>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</si>
  <si>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</si>
  <si>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</si>
  <si>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</si>
  <si>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</si>
  <si>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</si>
  <si>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</si>
  <si>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</si>
  <si>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</si>
  <si>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</si>
  <si>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</si>
  <si>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</si>
  <si>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</si>
  <si>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</si>
  <si>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</si>
  <si>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</si>
  <si>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</si>
  <si>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</si>
  <si>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</si>
  <si>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</si>
  <si>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</si>
  <si>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</si>
  <si>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</si>
  <si>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</si>
  <si>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</si>
  <si>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</si>
  <si>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</si>
  <si>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</si>
  <si>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</si>
  <si>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</si>
  <si>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</si>
  <si>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</si>
  <si>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</si>
  <si>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</si>
  <si>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</si>
  <si>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</si>
  <si>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</si>
  <si>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</si>
  <si>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</si>
  <si>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</si>
  <si>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</si>
  <si>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</si>
  <si>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</si>
  <si>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</si>
  <si>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</si>
  <si>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</si>
  <si>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</si>
  <si>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</si>
  <si>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</si>
  <si>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</si>
  <si>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</si>
  <si>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</si>
  <si>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</si>
  <si>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</si>
  <si>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</si>
  <si>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</si>
  <si>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</si>
  <si>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</si>
  <si>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</si>
  <si>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</si>
  <si>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</si>
  <si>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</si>
  <si>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</si>
  <si>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</si>
  <si>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</si>
  <si>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</si>
  <si>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</si>
  <si>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</si>
  <si>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</si>
  <si>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</si>
  <si>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</si>
  <si>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</si>
  <si>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</si>
  <si>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</si>
  <si>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</si>
  <si>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</si>
  <si>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</si>
  <si>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</si>
  <si>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</si>
  <si>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</si>
  <si>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</si>
  <si>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</si>
  <si>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</si>
  <si>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</si>
  <si>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</si>
  <si>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</si>
  <si>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</si>
  <si>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</si>
  <si>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</si>
  <si>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</si>
  <si>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</si>
  <si>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</si>
  <si>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</si>
  <si>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</si>
  <si>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</si>
  <si>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</si>
  <si>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</si>
  <si>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</si>
  <si>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</si>
  <si>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</si>
  <si>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</si>
  <si>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</si>
  <si>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</si>
  <si>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</si>
  <si>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</si>
  <si>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</si>
  <si>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</si>
  <si>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</si>
  <si>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</si>
  <si>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</si>
  <si>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</si>
  <si>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</si>
  <si>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</si>
  <si>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</si>
  <si>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</si>
  <si>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</si>
  <si>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</si>
  <si>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</si>
  <si>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</si>
  <si>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</si>
  <si>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</si>
  <si>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</si>
  <si>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</si>
  <si>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</si>
  <si>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</si>
  <si>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</si>
  <si>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</si>
  <si>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</si>
  <si>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</si>
  <si>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</si>
  <si>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</si>
  <si>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</si>
  <si>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</si>
  <si>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</si>
  <si>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</si>
  <si>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</si>
  <si>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</si>
  <si>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</si>
  <si>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</si>
  <si>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</si>
  <si>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</si>
  <si>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</si>
  <si>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</si>
  <si>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</si>
  <si>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</si>
  <si>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</si>
  <si>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</si>
  <si>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</si>
  <si>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</si>
  <si>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</si>
  <si>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</si>
  <si>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</si>
  <si>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</si>
  <si>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</si>
  <si>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</si>
  <si>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</si>
  <si>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</si>
  <si>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</si>
  <si>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</si>
  <si>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</si>
  <si>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</si>
  <si>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</si>
  <si>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</si>
  <si>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</si>
  <si>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</si>
  <si>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</si>
  <si>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</si>
  <si>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</si>
  <si>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</si>
  <si>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</si>
  <si>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</si>
  <si>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</si>
  <si>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</si>
  <si>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</si>
  <si>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</si>
  <si>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</si>
  <si>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</si>
  <si>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</si>
  <si>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</si>
  <si>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</si>
  <si>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</si>
  <si>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</si>
  <si>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</si>
  <si>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</si>
  <si>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</si>
  <si>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</si>
  <si>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</si>
  <si>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</si>
  <si>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</si>
  <si>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</si>
  <si>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</si>
  <si>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</si>
  <si>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</si>
  <si>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</si>
  <si>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</si>
  <si>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</si>
  <si>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</si>
  <si>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</si>
  <si>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</si>
  <si>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</si>
  <si>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</si>
  <si>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</si>
  <si>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</si>
  <si>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</si>
  <si>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</si>
  <si>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</si>
  <si>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</si>
  <si>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</si>
  <si>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</si>
  <si>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</si>
  <si>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</si>
  <si>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</si>
  <si>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</si>
  <si>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</si>
  <si>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</si>
  <si>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</si>
  <si>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</si>
  <si>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</si>
  <si>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</si>
  <si>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</si>
  <si>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</si>
  <si>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</si>
  <si>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</si>
  <si>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</si>
  <si>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</si>
  <si>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</si>
  <si>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</si>
  <si>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</si>
  <si>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</si>
  <si>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</si>
  <si>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</si>
  <si>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</si>
  <si>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</si>
  <si>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</si>
  <si>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</si>
  <si>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</si>
  <si>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</si>
  <si>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</si>
  <si>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</si>
  <si>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</si>
  <si>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</si>
  <si>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</si>
  <si>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</si>
  <si>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</si>
  <si>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</si>
  <si>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</si>
  <si>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</si>
  <si>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</si>
  <si>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</si>
  <si>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</si>
  <si>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</si>
  <si>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</si>
  <si>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</si>
  <si>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</si>
  <si>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</si>
  <si>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</si>
  <si>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</si>
  <si>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</si>
  <si>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</si>
  <si>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</si>
  <si>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</si>
  <si>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</si>
  <si>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</si>
  <si>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</si>
  <si>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</si>
  <si>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</si>
  <si>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</si>
  <si>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</si>
  <si>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</si>
  <si>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</si>
  <si>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</si>
  <si>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</si>
  <si>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</si>
  <si>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</si>
  <si>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</si>
  <si>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</si>
  <si>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</si>
  <si>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</si>
  <si>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</si>
  <si>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</si>
  <si>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</si>
  <si>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</si>
  <si>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</si>
  <si>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</si>
  <si>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</si>
  <si>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</si>
  <si>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</si>
  <si>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</si>
  <si>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</si>
  <si>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</si>
  <si>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</si>
  <si>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</si>
  <si>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</si>
  <si>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</si>
  <si>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</si>
  <si>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</si>
  <si>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</si>
  <si>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</si>
  <si>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</si>
  <si>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</si>
  <si>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</si>
  <si>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</si>
  <si>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</si>
  <si>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</si>
  <si>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</si>
  <si>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</si>
  <si>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</si>
  <si>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</si>
  <si>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</si>
  <si>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</si>
  <si>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</si>
  <si>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</si>
  <si>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</si>
  <si>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</si>
  <si>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</si>
  <si>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</si>
  <si>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</si>
  <si>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</si>
  <si>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</si>
  <si>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</si>
  <si>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</si>
  <si>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</si>
  <si>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</si>
  <si>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</si>
  <si>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</si>
  <si>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</si>
  <si>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</si>
  <si>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</si>
  <si>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</si>
  <si>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</si>
  <si>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</si>
  <si>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</si>
  <si>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</si>
  <si>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</si>
  <si>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</si>
  <si>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</si>
  <si>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</si>
  <si>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</si>
  <si>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</si>
  <si>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</si>
  <si>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</si>
  <si>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</si>
  <si>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</si>
  <si>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</si>
  <si>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</si>
  <si>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</si>
  <si>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</si>
  <si>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</si>
  <si>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</si>
  <si>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</si>
  <si>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</si>
  <si>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</si>
  <si>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</si>
  <si>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</si>
  <si>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</si>
  <si>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</si>
  <si>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</si>
  <si>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</si>
  <si>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</si>
  <si>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</si>
  <si>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</si>
  <si>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</si>
  <si>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</si>
  <si>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</si>
  <si>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</si>
  <si>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</si>
  <si>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</si>
  <si>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</si>
  <si>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</si>
  <si>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</si>
  <si>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</si>
  <si>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</si>
  <si>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</si>
  <si>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</si>
  <si>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</si>
  <si>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</si>
  <si>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</si>
  <si>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</si>
  <si>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</si>
  <si>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</si>
  <si>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</si>
  <si>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</si>
  <si>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</si>
  <si>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</si>
  <si>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</si>
  <si>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</si>
  <si>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</si>
  <si>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</si>
  <si>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</si>
  <si>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</si>
  <si>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</si>
  <si>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</si>
  <si>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</si>
  <si>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</si>
  <si>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</si>
  <si>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</si>
  <si>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</si>
  <si>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</si>
  <si>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</si>
  <si>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</si>
  <si>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</si>
  <si>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</si>
  <si>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</si>
  <si>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</si>
  <si>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</si>
  <si>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</si>
  <si>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</si>
  <si>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</si>
  <si>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</si>
  <si>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</si>
  <si>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</si>
  <si>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</si>
  <si>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</si>
  <si>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</si>
  <si>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</si>
  <si>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</si>
  <si>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</si>
  <si>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</si>
  <si>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</si>
  <si>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</si>
  <si>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</si>
  <si>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</si>
  <si>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</si>
  <si>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</si>
  <si>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</si>
  <si>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</si>
  <si>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</si>
  <si>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</si>
  <si>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</si>
  <si>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</si>
  <si>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</si>
  <si>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</si>
  <si>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</si>
  <si>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</si>
  <si>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</si>
  <si>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</si>
  <si>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</si>
  <si>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</si>
  <si>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</si>
  <si>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</si>
  <si>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</si>
  <si>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</si>
  <si>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</si>
  <si>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</si>
  <si>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</si>
  <si>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</si>
  <si>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</si>
  <si>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</si>
  <si>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</si>
  <si>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</si>
  <si>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</si>
  <si>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</si>
  <si>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</si>
  <si>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</si>
  <si>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</si>
  <si>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</si>
  <si>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</si>
  <si>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</si>
  <si>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</si>
  <si>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</si>
  <si>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</si>
  <si>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</si>
  <si>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</si>
  <si>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</si>
  <si>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</si>
  <si>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</si>
  <si>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</si>
  <si>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</si>
  <si>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</si>
  <si>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</si>
  <si>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</si>
  <si>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</si>
  <si>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</si>
  <si>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</si>
  <si>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</si>
  <si>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</si>
  <si>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</si>
  <si>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</si>
  <si>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</si>
  <si>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</si>
  <si>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</si>
  <si>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</si>
  <si>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</si>
  <si>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</si>
  <si>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</si>
  <si>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</si>
  <si>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</si>
  <si>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</si>
  <si>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</si>
  <si>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</si>
  <si>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</si>
  <si>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</si>
  <si>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</si>
  <si>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</si>
  <si>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</si>
  <si>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</si>
  <si>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</si>
  <si>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</si>
  <si>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</si>
  <si>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</si>
  <si>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</si>
  <si>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</si>
  <si>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</si>
  <si>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</si>
  <si>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</si>
  <si>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</si>
  <si>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</si>
  <si>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</si>
  <si>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</si>
  <si>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</si>
  <si>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</si>
  <si>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</si>
  <si>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</si>
  <si>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</si>
  <si>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</si>
  <si>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</si>
  <si>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</si>
  <si>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</si>
  <si>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</si>
  <si>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</si>
  <si>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</si>
  <si>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</si>
  <si>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</si>
  <si>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</si>
  <si>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</si>
  <si>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</si>
  <si>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</si>
  <si>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</si>
  <si>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</si>
  <si>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</si>
  <si>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</si>
  <si>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</si>
  <si>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</si>
  <si>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</si>
  <si>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</si>
  <si>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</si>
  <si>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</si>
  <si>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</si>
  <si>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</si>
  <si>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</si>
  <si>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</si>
  <si>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</si>
  <si>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</si>
  <si>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</si>
  <si>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</si>
  <si>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</si>
  <si>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</si>
  <si>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</si>
  <si>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</si>
  <si>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</si>
  <si>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</si>
  <si>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</si>
  <si>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</si>
  <si>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</si>
  <si>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</si>
  <si>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</si>
  <si>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</si>
  <si>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</si>
  <si>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</si>
  <si>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</si>
  <si>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</si>
  <si>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</si>
  <si>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</si>
  <si>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</si>
  <si>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</si>
  <si>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</si>
  <si>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</si>
  <si>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</si>
  <si>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</si>
  <si>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</si>
  <si>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</si>
  <si>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</si>
  <si>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</si>
  <si>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</si>
  <si>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</si>
  <si>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</si>
  <si>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</si>
  <si>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</si>
  <si>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</si>
  <si>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</si>
  <si>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</si>
  <si>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</si>
  <si>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</si>
  <si>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</si>
  <si>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</si>
  <si>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</si>
  <si>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</si>
  <si>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</si>
  <si>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</si>
  <si>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</si>
  <si>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</si>
  <si>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</si>
  <si>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</si>
  <si>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</si>
  <si>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</si>
  <si>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</si>
  <si>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</si>
  <si>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</si>
  <si>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</si>
  <si>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</si>
  <si>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</si>
  <si>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</si>
  <si>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</si>
  <si>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</si>
  <si>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</si>
  <si>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</si>
  <si>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</si>
  <si>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</si>
  <si>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</si>
  <si>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</si>
  <si>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</si>
  <si>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</si>
  <si>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</si>
  <si>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</si>
  <si>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</si>
  <si>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</si>
  <si>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</si>
  <si>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</si>
  <si>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</si>
  <si>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</si>
  <si>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</si>
  <si>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</si>
  <si>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</si>
  <si>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</si>
  <si>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</si>
  <si>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</si>
  <si>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</si>
  <si>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</si>
  <si>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</si>
  <si>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</si>
  <si>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</si>
  <si>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</si>
  <si>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</si>
  <si>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</si>
  <si>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</si>
  <si>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</si>
  <si>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</si>
  <si>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</si>
  <si>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</si>
  <si>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</si>
  <si>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</si>
  <si>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</si>
  <si>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</si>
  <si>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</si>
  <si>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</si>
  <si>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</si>
  <si>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</si>
  <si>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</si>
  <si>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</si>
  <si>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</si>
  <si>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</si>
  <si>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</si>
  <si>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</si>
  <si>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</si>
  <si>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</si>
  <si>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</si>
  <si>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</si>
  <si>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</si>
  <si>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</si>
  <si>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</si>
  <si>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</si>
  <si>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</si>
  <si>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</si>
  <si>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</si>
  <si>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</si>
  <si>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</si>
  <si>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</si>
  <si>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</si>
  <si>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</si>
  <si>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</si>
  <si>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</si>
  <si>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</si>
  <si>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</si>
  <si>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</si>
  <si>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</si>
  <si>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</si>
  <si>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</si>
  <si>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</si>
  <si>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</si>
  <si>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</si>
  <si>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</si>
  <si>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</si>
  <si>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</si>
  <si>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</si>
  <si>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</si>
  <si>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</si>
  <si>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</si>
  <si>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</si>
  <si>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</si>
  <si>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</si>
  <si>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</si>
  <si>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</si>
  <si>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</si>
  <si>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</si>
  <si>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</si>
  <si>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</si>
  <si>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</si>
  <si>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</si>
  <si>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</si>
  <si>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</si>
  <si>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</si>
  <si>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</si>
  <si>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</si>
  <si>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</si>
  <si>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</si>
  <si>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</si>
  <si>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</si>
  <si>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</si>
  <si>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</si>
  <si>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</si>
  <si>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</si>
  <si>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</si>
  <si>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</si>
  <si>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</si>
  <si>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</si>
  <si>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</si>
  <si>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</si>
  <si>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</si>
  <si>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</si>
  <si>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</si>
  <si>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</si>
  <si>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</si>
  <si>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</si>
  <si>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</si>
  <si>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</si>
  <si>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</si>
  <si>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</si>
  <si>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</si>
  <si>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</si>
  <si>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</si>
  <si>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</si>
  <si>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</si>
  <si>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</si>
  <si>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</si>
  <si>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</si>
  <si>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</si>
  <si>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</si>
  <si>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</si>
  <si>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</si>
  <si>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</si>
  <si>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</si>
  <si>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</si>
  <si>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</si>
  <si>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</si>
  <si>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</si>
  <si>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</si>
  <si>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</si>
  <si>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</si>
  <si>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</si>
  <si>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</si>
  <si>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</si>
  <si>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</si>
  <si>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</si>
  <si>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</si>
  <si>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</si>
  <si>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</si>
  <si>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</si>
  <si>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</si>
  <si>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</si>
  <si>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</si>
  <si>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</si>
  <si>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</si>
  <si>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</si>
  <si>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</si>
  <si>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</si>
  <si>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</si>
  <si>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</si>
  <si>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</si>
  <si>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</si>
  <si>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</si>
  <si>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</si>
  <si>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</si>
  <si>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</si>
  <si>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</si>
  <si>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</si>
  <si>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</si>
  <si>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</si>
  <si>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</si>
  <si>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</si>
  <si>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</si>
  <si>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</si>
  <si>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</si>
  <si>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</si>
  <si>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</si>
  <si>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</si>
  <si>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</si>
  <si>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</si>
  <si>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</si>
  <si>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</si>
  <si>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</si>
  <si>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</si>
  <si>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</si>
  <si>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</si>
  <si>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</si>
  <si>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</si>
  <si>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</si>
  <si>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</si>
  <si>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</si>
  <si>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</si>
  <si>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</si>
  <si>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</si>
  <si>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</si>
  <si>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</si>
  <si>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</si>
  <si>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</si>
  <si>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</si>
  <si>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</si>
  <si>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</si>
  <si>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</si>
  <si>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</si>
  <si>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</si>
  <si>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</si>
  <si>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</si>
  <si>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</si>
  <si>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</si>
  <si>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</si>
  <si>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</si>
  <si>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</si>
  <si>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</si>
  <si>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</si>
  <si>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</si>
  <si>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</si>
  <si>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</si>
  <si>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</si>
  <si>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</si>
  <si>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</si>
  <si>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</si>
  <si>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</si>
  <si>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</si>
  <si>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</si>
  <si>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</si>
  <si>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</si>
  <si>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</si>
  <si>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</si>
  <si>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</si>
  <si>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</si>
  <si>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</si>
  <si>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</si>
  <si>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</si>
  <si>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</si>
  <si>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</si>
  <si>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</si>
  <si>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</si>
  <si>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</si>
  <si>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</si>
  <si>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</si>
  <si>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</si>
  <si>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</si>
  <si>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</si>
  <si>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</si>
  <si>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</si>
  <si>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</si>
  <si>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</si>
  <si>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</si>
  <si>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</si>
  <si>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</si>
  <si>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</si>
  <si>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</si>
  <si>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</si>
  <si>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</si>
  <si>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</si>
  <si>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</si>
  <si>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</si>
  <si>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</si>
  <si>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</si>
  <si>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</si>
  <si>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</si>
  <si>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</si>
  <si>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</si>
  <si>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</si>
  <si>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</si>
  <si>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</si>
  <si>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</si>
  <si>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</si>
  <si>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</si>
  <si>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</si>
  <si>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</si>
  <si>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</si>
  <si>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</si>
  <si>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</si>
  <si>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</si>
  <si>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</si>
  <si>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</si>
  <si>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</si>
  <si>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</si>
  <si>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</si>
  <si>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</si>
  <si>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</si>
  <si>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</si>
  <si>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</si>
  <si>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</si>
  <si>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</si>
  <si>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</si>
  <si>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</si>
  <si>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</si>
  <si>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</si>
  <si>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</si>
  <si>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</si>
  <si>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</si>
  <si>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</si>
  <si>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</si>
  <si>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</si>
  <si>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</si>
  <si>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</si>
  <si>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</si>
  <si>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</si>
  <si>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</si>
  <si>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</si>
  <si>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</si>
  <si>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</si>
  <si>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</si>
  <si>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</si>
  <si>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</si>
  <si>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</si>
  <si>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</si>
  <si>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</si>
  <si>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</si>
  <si>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</si>
  <si>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</si>
  <si>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</si>
  <si>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</si>
  <si>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</si>
  <si>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</si>
  <si>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</si>
  <si>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</si>
  <si>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</si>
  <si>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</si>
  <si>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</si>
  <si>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</si>
  <si>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</si>
  <si>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</si>
  <si>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</si>
  <si>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</si>
  <si>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</si>
  <si>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</si>
  <si>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</si>
  <si>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</si>
  <si>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</si>
  <si>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</si>
  <si>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</si>
  <si>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</si>
  <si>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</si>
  <si>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</si>
  <si>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</si>
  <si>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</si>
  <si>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</si>
  <si>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</si>
  <si>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</si>
  <si>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</si>
  <si>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</si>
  <si>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</si>
  <si>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</si>
  <si>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</si>
  <si>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</si>
  <si>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</si>
  <si>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</si>
  <si>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</si>
  <si>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</si>
  <si>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</si>
  <si>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</si>
  <si>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</si>
  <si>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</si>
  <si>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</si>
  <si>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</si>
  <si>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</si>
  <si>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</si>
  <si>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</si>
  <si>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</si>
  <si>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</si>
  <si>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</si>
  <si>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</si>
  <si>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</si>
  <si>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</si>
  <si>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</si>
  <si>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</si>
  <si>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</si>
  <si>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</si>
  <si>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</si>
  <si>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</si>
  <si>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</si>
  <si>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</si>
  <si>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</si>
  <si>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</si>
  <si>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</si>
  <si>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</si>
  <si>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</si>
  <si>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</si>
  <si>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</si>
  <si>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</si>
  <si>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</si>
  <si>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</si>
  <si>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</si>
  <si>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</si>
  <si>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</si>
  <si>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</si>
  <si>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</si>
  <si>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</si>
  <si>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</si>
  <si>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</si>
  <si>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</si>
  <si>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</si>
  <si>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</si>
  <si>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</si>
  <si>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</si>
  <si>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</si>
  <si>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</si>
  <si>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</si>
  <si>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</si>
  <si>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</si>
  <si>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</si>
  <si>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</si>
  <si>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</si>
  <si>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</si>
  <si>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</si>
  <si>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</si>
  <si>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</si>
  <si>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</si>
  <si>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</si>
  <si>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</si>
  <si>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</si>
  <si>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</si>
  <si>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</si>
  <si>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</si>
  <si>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</si>
  <si>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</si>
  <si>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</si>
  <si>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</si>
  <si>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</si>
  <si>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</si>
  <si>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</si>
  <si>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</si>
  <si>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</si>
  <si>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</si>
  <si>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</si>
  <si>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</si>
  <si>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</si>
  <si>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</si>
  <si>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</si>
  <si>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</si>
  <si>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</si>
  <si>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</si>
  <si>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</si>
  <si>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</si>
  <si>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</si>
  <si>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</si>
  <si>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</si>
  <si>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</si>
  <si>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</si>
  <si>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</si>
  <si>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</si>
  <si>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</si>
  <si>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</si>
  <si>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</si>
  <si>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</si>
  <si>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</si>
  <si>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</si>
  <si>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</si>
  <si>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</si>
  <si>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</si>
  <si>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</si>
  <si>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</si>
  <si>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</si>
  <si>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</si>
  <si>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</si>
  <si>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</si>
  <si>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</si>
  <si>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</si>
  <si>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</si>
  <si>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</si>
  <si>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</si>
  <si>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</si>
  <si>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</si>
  <si>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</si>
  <si>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</si>
  <si>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</si>
  <si>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</si>
  <si>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</si>
  <si>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</si>
  <si>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</si>
  <si>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</si>
  <si>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</si>
  <si>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</si>
  <si>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</si>
  <si>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</si>
  <si>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</si>
  <si>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</si>
  <si>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</si>
  <si>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</si>
  <si>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</si>
  <si>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</si>
  <si>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</si>
  <si>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</si>
  <si>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</si>
  <si>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</si>
  <si>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</si>
  <si>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</si>
  <si>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</si>
  <si>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</si>
  <si>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</si>
  <si>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</si>
  <si>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</si>
  <si>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</si>
  <si>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</si>
  <si>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</si>
  <si>
    <t>12WR0001US</t>
  </si>
  <si>
    <t>ThinkSmart Core Gen 2 IPFRK Zoom, Intel Core Ultra 7 165H vPro (E-cores up to 3.80GHz, 24MB), W11 IoT ETP GAC 64 ENG, 32.0GB, 1x256GB SSD M.2 2280 PCIe Gen4 TLC Opal, Intel Arc Graphics, BT 5.1 or above, IntelAX211vPro, 45W, 3YR Premier NBD</t>
  </si>
  <si>
    <t>FW65BZ40L</t>
  </si>
  <si>
    <t>SONY</t>
  </si>
  <si>
    <t>Sony BZ40L Series 65" UHD 4K HDR Commercial Monitor</t>
  </si>
  <si>
    <t>FW85BZ40L</t>
  </si>
  <si>
    <t>Sony BZ40L Series 85" UHD 4K HDR Commercial Monitor</t>
  </si>
  <si>
    <t>Sony BZ40L Series 75" UHD 4K HDR Commercial Monitor</t>
  </si>
  <si>
    <t>FW75BZ40L</t>
  </si>
  <si>
    <t>Sony BZ40L Series 55" UHD 4K HDR Commercial Monitor</t>
  </si>
  <si>
    <t>FW55BZ40L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</si>
</sst>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13" totalsRowShown="0" headerRowDxfId="13" dataDxfId="12">
  <autoFilter ref="A1:G7813"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13"/>
  <sheetViews>
    <sheetView tabSelected="1" topLeftCell="A7786" zoomScale="93" zoomScaleNormal="80" workbookViewId="0">
      <selection activeCell="C7816" sqref="C7816"/>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7" x14ac:dyDescent="0.2">
      <c r="A7793" s="1" t="str">
        <f t="shared" si="128"/>
        <v>SHURESHUREWL185MW/C-LM3</v>
      </c>
      <c r="B7793" s="1" t="s">
        <v>665</v>
      </c>
      <c r="C7793" s="3" t="s">
        <v>14857</v>
      </c>
      <c r="D7793" s="3" t="s">
        <v>665</v>
      </c>
      <c r="E7793" s="24" t="s">
        <v>13313</v>
      </c>
    </row>
    <row r="7794" spans="1:7" x14ac:dyDescent="0.2">
      <c r="A7794" s="1" t="str">
        <f t="shared" si="128"/>
        <v>SHURESHUREWL185MW/C-TQG</v>
      </c>
      <c r="B7794" s="1" t="s">
        <v>665</v>
      </c>
      <c r="C7794" s="3" t="s">
        <v>14856</v>
      </c>
      <c r="D7794" s="3" t="s">
        <v>665</v>
      </c>
      <c r="E7794" s="24" t="s">
        <v>13314</v>
      </c>
    </row>
    <row r="7795" spans="1:7" x14ac:dyDescent="0.2">
      <c r="A7795" s="1" t="str">
        <f t="shared" si="128"/>
        <v>SHURESHUREWL93</v>
      </c>
      <c r="B7795" s="1" t="s">
        <v>665</v>
      </c>
      <c r="C7795" s="3" t="s">
        <v>14858</v>
      </c>
      <c r="D7795" s="3" t="s">
        <v>665</v>
      </c>
      <c r="E7795" s="24" t="s">
        <v>13315</v>
      </c>
    </row>
    <row r="7796" spans="1:7" x14ac:dyDescent="0.2">
      <c r="A7796" s="1" t="str">
        <f t="shared" si="128"/>
        <v>SHURESHUREWL93-6</v>
      </c>
      <c r="B7796" s="1" t="s">
        <v>665</v>
      </c>
      <c r="C7796" s="3" t="s">
        <v>14859</v>
      </c>
      <c r="D7796" s="3" t="s">
        <v>665</v>
      </c>
      <c r="E7796" s="24" t="s">
        <v>13316</v>
      </c>
    </row>
    <row r="7797" spans="1:7" x14ac:dyDescent="0.2">
      <c r="A7797" s="1" t="str">
        <f t="shared" si="128"/>
        <v>SHURESHUREWL93-6T</v>
      </c>
      <c r="B7797" s="1" t="s">
        <v>665</v>
      </c>
      <c r="C7797" s="3" t="s">
        <v>14860</v>
      </c>
      <c r="D7797" s="3" t="s">
        <v>665</v>
      </c>
      <c r="E7797" s="24" t="s">
        <v>13317</v>
      </c>
    </row>
    <row r="7798" spans="1:7" x14ac:dyDescent="0.2">
      <c r="A7798" s="1" t="str">
        <f t="shared" si="128"/>
        <v>SHURESHUREWL93T</v>
      </c>
      <c r="B7798" s="1" t="s">
        <v>665</v>
      </c>
      <c r="C7798" s="5" t="s">
        <v>14861</v>
      </c>
      <c r="D7798" s="3" t="s">
        <v>665</v>
      </c>
      <c r="E7798" s="27" t="s">
        <v>13318</v>
      </c>
    </row>
    <row r="7799" spans="1:7" x14ac:dyDescent="0.2">
      <c r="A7799" s="1" t="str">
        <f>_xlfn.CONCAT(B7799,D7799,E7799)</f>
        <v>AUDIO-SHUREMXWAPX4=-Z10</v>
      </c>
      <c r="B7799" s="1" t="s">
        <v>5</v>
      </c>
      <c r="C7799" s="5" t="s">
        <v>14863</v>
      </c>
      <c r="D7799" s="5" t="s">
        <v>665</v>
      </c>
      <c r="E7799" s="6" t="s">
        <v>14862</v>
      </c>
    </row>
    <row r="7800" spans="1:7" x14ac:dyDescent="0.2">
      <c r="A7800" s="1" t="str">
        <f>_xlfn.CONCAT(B7800,D7800,E7800)</f>
        <v>AUDIO-SHUREMXW6X/C=-Z10</v>
      </c>
      <c r="B7800" s="1" t="s">
        <v>5</v>
      </c>
      <c r="C7800" s="5" t="s">
        <v>14864</v>
      </c>
      <c r="D7800" s="5" t="s">
        <v>665</v>
      </c>
      <c r="E7800" s="6" t="s">
        <v>12404</v>
      </c>
    </row>
    <row r="7801" spans="1:7" x14ac:dyDescent="0.2">
      <c r="A7801" s="1" t="str">
        <f>_xlfn.CONCAT(B7801,D7801,E7801)</f>
        <v>AUDIO-SHUREMXW2X/SM58=-Z10</v>
      </c>
      <c r="B7801" s="1" t="s">
        <v>5</v>
      </c>
      <c r="C7801" s="5" t="s">
        <v>14865</v>
      </c>
      <c r="D7801" s="5" t="s">
        <v>665</v>
      </c>
      <c r="E7801" s="6" t="s">
        <v>12397</v>
      </c>
    </row>
    <row r="7802" spans="1:7" x14ac:dyDescent="0.2">
      <c r="A7802" s="1" t="str">
        <f>_xlfn.CONCAT(B7802,D7802,E7802)</f>
        <v>AUDIO-SHUREMXWNDX4</v>
      </c>
      <c r="B7802" s="1" t="s">
        <v>5</v>
      </c>
      <c r="C7802" s="5" t="s">
        <v>14867</v>
      </c>
      <c r="D7802" s="5" t="s">
        <v>665</v>
      </c>
      <c r="E7802" s="6" t="s">
        <v>14866</v>
      </c>
    </row>
    <row r="7803" spans="1:7" x14ac:dyDescent="0.2">
      <c r="A7803" s="1" t="str">
        <f>_xlfn.CONCAT(B7803,D7803,E7803)</f>
        <v>MOUNTING-PENN ELCOMR1498/2UK-SPORT1</v>
      </c>
      <c r="B7803" s="1" t="s">
        <v>469</v>
      </c>
      <c r="C7803" s="33" t="s">
        <v>14869</v>
      </c>
      <c r="D7803" s="34" t="s">
        <v>14870</v>
      </c>
      <c r="E7803" s="35" t="s">
        <v>14868</v>
      </c>
      <c r="F7803" s="36"/>
    </row>
    <row r="7804" spans="1:7" x14ac:dyDescent="0.2">
      <c r="A7804" s="37" t="str">
        <f>_xlfn.CONCAT(B7804,D7804,E7804)</f>
        <v>IPAD-IPORT72106</v>
      </c>
      <c r="B7804" s="37" t="s">
        <v>14873</v>
      </c>
      <c r="C7804" s="38" t="s">
        <v>14872</v>
      </c>
      <c r="D7804" s="39" t="s">
        <v>14871</v>
      </c>
      <c r="E7804" s="40">
        <v>72106</v>
      </c>
      <c r="F7804" s="41"/>
      <c r="G7804" s="41"/>
    </row>
    <row r="7805" spans="1:7" x14ac:dyDescent="0.2">
      <c r="A7805" s="37" t="str">
        <f>_xlfn.CONCAT(B7805,D7805,E7805)</f>
        <v>IPAD-IPORT72101</v>
      </c>
      <c r="B7805" s="37" t="s">
        <v>14873</v>
      </c>
      <c r="C7805" s="38" t="s">
        <v>14874</v>
      </c>
      <c r="D7805" s="39" t="s">
        <v>14871</v>
      </c>
      <c r="E7805" s="40">
        <v>72101</v>
      </c>
      <c r="F7805" s="41"/>
      <c r="G7805" s="41"/>
    </row>
    <row r="7806" spans="1:7" x14ac:dyDescent="0.2">
      <c r="A7806" s="37" t="str">
        <f>_xlfn.CONCAT(B7806,D7806,E7806)</f>
        <v>IPAD-IPORT72350</v>
      </c>
      <c r="B7806" s="37" t="s">
        <v>14873</v>
      </c>
      <c r="C7806" s="38" t="s">
        <v>14875</v>
      </c>
      <c r="D7806" s="39" t="s">
        <v>14871</v>
      </c>
      <c r="E7806" s="40">
        <v>72350</v>
      </c>
      <c r="F7806" s="41"/>
      <c r="G7806" s="41"/>
    </row>
    <row r="7807" spans="1:7" x14ac:dyDescent="0.2">
      <c r="A7807" s="37" t="str">
        <f>_xlfn.CONCAT(B7807,D7807,E7807)</f>
        <v>IPAD-IPORT72329</v>
      </c>
      <c r="B7807" s="37" t="s">
        <v>14873</v>
      </c>
      <c r="C7807" s="38" t="s">
        <v>14876</v>
      </c>
      <c r="D7807" s="39" t="s">
        <v>14871</v>
      </c>
      <c r="E7807" s="40">
        <v>72329</v>
      </c>
      <c r="F7807" s="41"/>
      <c r="G7807" s="41"/>
    </row>
    <row r="7808" spans="1:7" x14ac:dyDescent="0.2">
      <c r="A7808" s="37" t="str">
        <f>_xlfn.CONCAT(B7808,D7808,E7808)</f>
        <v>IPAD-APPLEMXN63LL/A</v>
      </c>
      <c r="B7808" s="37" t="s">
        <v>14873</v>
      </c>
      <c r="C7808" s="38" t="s">
        <v>14878</v>
      </c>
      <c r="D7808" s="39" t="s">
        <v>106</v>
      </c>
      <c r="E7808" s="40" t="s">
        <v>14877</v>
      </c>
      <c r="F7808" s="41"/>
      <c r="G7808" s="41"/>
    </row>
    <row r="7809" spans="1:7" x14ac:dyDescent="0.2">
      <c r="A7809" s="1" t="str">
        <f>_xlfn.CONCAT(B7809,D7809,E7809)</f>
        <v>VC-LENOVO12WR0001US</v>
      </c>
      <c r="B7809" s="1" t="s">
        <v>294</v>
      </c>
      <c r="C7809" s="33" t="s">
        <v>14880</v>
      </c>
      <c r="D7809" s="34" t="s">
        <v>5077</v>
      </c>
      <c r="E7809" s="35" t="s">
        <v>14879</v>
      </c>
      <c r="F7809" s="36"/>
      <c r="G7809" s="41"/>
    </row>
    <row r="7810" spans="1:7" x14ac:dyDescent="0.2">
      <c r="A7810" s="37" t="str">
        <f>_xlfn.CONCAT(B7810,D7810,E7810)</f>
        <v>DISPLAY-SONYFW65BZ40L</v>
      </c>
      <c r="B7810" s="37" t="s">
        <v>112</v>
      </c>
      <c r="C7810" s="38" t="s">
        <v>14883</v>
      </c>
      <c r="D7810" s="39" t="s">
        <v>14882</v>
      </c>
      <c r="E7810" s="40" t="s">
        <v>14881</v>
      </c>
      <c r="F7810" s="41"/>
      <c r="G7810" s="41"/>
    </row>
    <row r="7811" spans="1:7" x14ac:dyDescent="0.2">
      <c r="A7811" s="37" t="str">
        <f>_xlfn.CONCAT(B7811,D7811,E7811)</f>
        <v>DISPLAY-SONYFW85BZ40L</v>
      </c>
      <c r="B7811" s="37" t="s">
        <v>112</v>
      </c>
      <c r="C7811" s="38" t="s">
        <v>14885</v>
      </c>
      <c r="D7811" s="39" t="s">
        <v>14882</v>
      </c>
      <c r="E7811" s="40" t="s">
        <v>14884</v>
      </c>
      <c r="F7811" s="41"/>
      <c r="G7811" s="41"/>
    </row>
    <row r="7812" spans="1:7" x14ac:dyDescent="0.2">
      <c r="A7812" s="37" t="str">
        <f>_xlfn.CONCAT(B7812,D7812,E7812)</f>
        <v>DISPLAY-SONYFW75BZ40L</v>
      </c>
      <c r="B7812" s="37" t="s">
        <v>112</v>
      </c>
      <c r="C7812" s="38" t="s">
        <v>14886</v>
      </c>
      <c r="D7812" s="39" t="s">
        <v>14882</v>
      </c>
      <c r="E7812" s="40" t="s">
        <v>14887</v>
      </c>
      <c r="F7812" s="41"/>
      <c r="G7812" s="41"/>
    </row>
    <row r="7813" spans="1:7" x14ac:dyDescent="0.2">
      <c r="A7813" s="37" t="str">
        <f>_xlfn.CONCAT(B7813,D7813,E7813)</f>
        <v>DISPLAY-SONYFW55BZ40L</v>
      </c>
      <c r="B7813" s="37" t="s">
        <v>112</v>
      </c>
      <c r="C7813" s="38" t="s">
        <v>14888</v>
      </c>
      <c r="D7813" s="39" t="s">
        <v>14882</v>
      </c>
      <c r="E7813" s="40" t="s">
        <v>14889</v>
      </c>
      <c r="F7813" s="41"/>
      <c r="G7813" s="41"/>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2025-11-22T01:22:31Z</dcterms:modified>
</cp:coreProperties>
</file>